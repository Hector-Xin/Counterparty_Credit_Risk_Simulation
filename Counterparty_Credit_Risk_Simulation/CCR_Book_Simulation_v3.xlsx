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9873c738448e384b/Attachments/桌面/Python Mini Projects/002_Counterparty_Exposure/"/>
    </mc:Choice>
  </mc:AlternateContent>
  <xr:revisionPtr revIDLastSave="38" documentId="11_4871A2A41486DD633DB0D7734B5ED87656CC652D" xr6:coauthVersionLast="47" xr6:coauthVersionMax="47" xr10:uidLastSave="{985457A1-5E2B-41AC-BFBF-82DEBC23BF9C}"/>
  <bookViews>
    <workbookView xWindow="4980" yWindow="-21450" windowWidth="25485" windowHeight="17700" xr2:uid="{00000000-000D-0000-FFFF-FFFF00000000}"/>
  </bookViews>
  <sheets>
    <sheet name="Derivatives Boo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7" i="1" l="1"/>
</calcChain>
</file>

<file path=xl/sharedStrings.xml><?xml version="1.0" encoding="utf-8"?>
<sst xmlns="http://schemas.openxmlformats.org/spreadsheetml/2006/main" count="981" uniqueCount="74">
  <si>
    <t>Trade_ID</t>
  </si>
  <si>
    <t>Counterparty</t>
  </si>
  <si>
    <t>Netting_Agreement_ID</t>
  </si>
  <si>
    <t>Trade_Date</t>
  </si>
  <si>
    <t>Maturity_Date</t>
  </si>
  <si>
    <t>Category</t>
  </si>
  <si>
    <t>Asset_Class</t>
  </si>
  <si>
    <t>Underlying_Risk_Factor</t>
  </si>
  <si>
    <t>Currency</t>
  </si>
  <si>
    <t>Direction</t>
  </si>
  <si>
    <t>Notional_Amount</t>
  </si>
  <si>
    <t>MTM (RC)</t>
  </si>
  <si>
    <t>Volatility</t>
  </si>
  <si>
    <t>Counterparty_Credit_Spread_bps</t>
  </si>
  <si>
    <t>CSA_Flag</t>
  </si>
  <si>
    <t>Threshold</t>
  </si>
  <si>
    <t>MTA</t>
  </si>
  <si>
    <t>Spot_Price</t>
  </si>
  <si>
    <t>Is_Option</t>
  </si>
  <si>
    <t>Strike_Price</t>
  </si>
  <si>
    <t>Hedging_Set</t>
  </si>
  <si>
    <t>CSA-004</t>
  </si>
  <si>
    <t>Commodity Forward</t>
  </si>
  <si>
    <t>Commodity</t>
  </si>
  <si>
    <t>GOLD</t>
  </si>
  <si>
    <t>EUR</t>
  </si>
  <si>
    <t>Long</t>
  </si>
  <si>
    <t>CSA-003</t>
  </si>
  <si>
    <t>TR Swap</t>
  </si>
  <si>
    <t>Credit</t>
  </si>
  <si>
    <t>CDX.HY</t>
  </si>
  <si>
    <t>CSA-006</t>
  </si>
  <si>
    <t>FX Swap</t>
  </si>
  <si>
    <t>FX</t>
  </si>
  <si>
    <t>EURUSD</t>
  </si>
  <si>
    <t>CSA-008</t>
  </si>
  <si>
    <t>GBP</t>
  </si>
  <si>
    <t>Short</t>
  </si>
  <si>
    <t>CSA-007</t>
  </si>
  <si>
    <t>USD</t>
  </si>
  <si>
    <t>CSA-001</t>
  </si>
  <si>
    <t>CDX.IG</t>
  </si>
  <si>
    <t>JPY</t>
  </si>
  <si>
    <t>Equity Long Call</t>
  </si>
  <si>
    <t>Equity</t>
  </si>
  <si>
    <t>RTY</t>
  </si>
  <si>
    <t>BRENT</t>
  </si>
  <si>
    <t>CSA-002</t>
  </si>
  <si>
    <t>IRS Payer</t>
  </si>
  <si>
    <t>Rates</t>
  </si>
  <si>
    <t>EUR_6M_EURIBOR</t>
  </si>
  <si>
    <t>Equity Swap</t>
  </si>
  <si>
    <t>NDX</t>
  </si>
  <si>
    <t>IRS Receiver</t>
  </si>
  <si>
    <t>CDS Sell Protection</t>
  </si>
  <si>
    <t>Swaption</t>
  </si>
  <si>
    <t>SPX</t>
  </si>
  <si>
    <t>Commodity Swap</t>
  </si>
  <si>
    <t>Equity Long Put</t>
  </si>
  <si>
    <t>CSA-005</t>
  </si>
  <si>
    <t>WTI_CRUDE</t>
  </si>
  <si>
    <t>FX Option</t>
  </si>
  <si>
    <t>GBPUSD</t>
  </si>
  <si>
    <t>USDJPY</t>
  </si>
  <si>
    <t>USD_SOFR</t>
  </si>
  <si>
    <t>CDS Buy Protection</t>
  </si>
  <si>
    <t>ITRAXX.EU</t>
  </si>
  <si>
    <t>FX Forward</t>
  </si>
  <si>
    <t>Fund1</t>
  </si>
  <si>
    <t>Fund2</t>
  </si>
  <si>
    <t>Fund3</t>
  </si>
  <si>
    <t>Bank1</t>
  </si>
  <si>
    <t>Bank2</t>
  </si>
  <si>
    <t>Bank3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</si>
</sst>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1"/>
  <sheetViews>
    <sheetView tabSelected="1" workbookViewId="0">
      <selection activeCell="G17" sqref="G17"/>
    </sheetView>
  </sheetViews>
  <sheetFormatPr defaultRowHeight="14.4" x14ac:dyDescent="0.3"/>
  <cols>
    <col min="2" max="2" width="15.44140625" customWidth="1"/>
    <col min="3" max="3" width="12.21875" customWidth="1"/>
    <col min="4" max="5" width="23.88671875" customWidth="1"/>
    <col min="6" max="6" width="16.5546875" customWidth="1"/>
    <col min="7" max="7" width="21.6640625" customWidth="1"/>
    <col min="11" max="11" width="14.44140625" customWidth="1"/>
    <col min="12" max="12" width="18.88671875" customWidth="1"/>
    <col min="13" max="13" width="13.77734375" customWidth="1"/>
    <col min="14" max="14" width="23.777343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s="2" t="s">
        <v>69</v>
      </c>
      <c r="C2" t="s">
        <v>21</v>
      </c>
      <c r="D2" s="1">
        <v>45770</v>
      </c>
      <c r="E2" s="1">
        <v>48823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>
        <v>46406126</v>
      </c>
      <c r="L2">
        <v>-518446.07</v>
      </c>
      <c r="M2">
        <v>0.14699999999999999</v>
      </c>
      <c r="N2">
        <v>189.8</v>
      </c>
      <c r="O2" t="b">
        <v>1</v>
      </c>
      <c r="P2">
        <v>1000000</v>
      </c>
      <c r="Q2">
        <v>250000</v>
      </c>
      <c r="R2">
        <v>2350</v>
      </c>
      <c r="S2" t="b">
        <v>0</v>
      </c>
      <c r="U2" t="s">
        <v>25</v>
      </c>
    </row>
    <row r="3" spans="1:21" x14ac:dyDescent="0.3">
      <c r="A3">
        <v>2</v>
      </c>
      <c r="B3" s="2" t="s">
        <v>70</v>
      </c>
      <c r="C3" t="s">
        <v>27</v>
      </c>
      <c r="D3" s="1">
        <v>45067</v>
      </c>
      <c r="E3" s="1">
        <v>46519</v>
      </c>
      <c r="F3" t="s">
        <v>28</v>
      </c>
      <c r="G3" t="s">
        <v>29</v>
      </c>
      <c r="H3" t="s">
        <v>30</v>
      </c>
      <c r="I3" t="s">
        <v>25</v>
      </c>
      <c r="J3" t="s">
        <v>26</v>
      </c>
      <c r="K3">
        <v>196730022</v>
      </c>
      <c r="L3">
        <v>-2010609.54</v>
      </c>
      <c r="M3">
        <v>0.253</v>
      </c>
      <c r="N3">
        <v>281.7</v>
      </c>
      <c r="O3" t="b">
        <v>1</v>
      </c>
      <c r="P3">
        <v>500000</v>
      </c>
      <c r="Q3">
        <v>50000</v>
      </c>
      <c r="R3">
        <v>380</v>
      </c>
      <c r="S3" t="b">
        <v>0</v>
      </c>
      <c r="U3" t="s">
        <v>25</v>
      </c>
    </row>
    <row r="4" spans="1:21" x14ac:dyDescent="0.3">
      <c r="A4">
        <v>3</v>
      </c>
      <c r="B4" s="2" t="s">
        <v>73</v>
      </c>
      <c r="C4" t="s">
        <v>31</v>
      </c>
      <c r="D4" s="1">
        <v>44292</v>
      </c>
      <c r="E4" s="1">
        <v>45240</v>
      </c>
      <c r="F4" t="s">
        <v>32</v>
      </c>
      <c r="G4" t="s">
        <v>33</v>
      </c>
      <c r="H4" t="s">
        <v>34</v>
      </c>
      <c r="I4" t="s">
        <v>25</v>
      </c>
      <c r="J4" t="s">
        <v>26</v>
      </c>
      <c r="K4">
        <v>138236386</v>
      </c>
      <c r="L4">
        <v>77868.77</v>
      </c>
      <c r="M4">
        <v>0.30599999999999999</v>
      </c>
      <c r="N4">
        <v>97.4</v>
      </c>
      <c r="O4" t="b">
        <v>0</v>
      </c>
      <c r="R4">
        <v>1.08</v>
      </c>
      <c r="S4" t="b">
        <v>0</v>
      </c>
      <c r="U4" t="s">
        <v>34</v>
      </c>
    </row>
    <row r="5" spans="1:21" x14ac:dyDescent="0.3">
      <c r="A5">
        <v>4</v>
      </c>
      <c r="B5" s="2" t="s">
        <v>72</v>
      </c>
      <c r="C5" t="s">
        <v>35</v>
      </c>
      <c r="D5" s="1">
        <v>45381</v>
      </c>
      <c r="E5" s="1">
        <v>48815</v>
      </c>
      <c r="F5" t="s">
        <v>32</v>
      </c>
      <c r="G5" t="s">
        <v>33</v>
      </c>
      <c r="H5" t="s">
        <v>34</v>
      </c>
      <c r="I5" t="s">
        <v>36</v>
      </c>
      <c r="J5" t="s">
        <v>37</v>
      </c>
      <c r="K5">
        <v>179491333</v>
      </c>
      <c r="L5">
        <v>-2694677.87</v>
      </c>
      <c r="M5">
        <v>0.30099999999999999</v>
      </c>
      <c r="N5">
        <v>62.7</v>
      </c>
      <c r="O5" t="b">
        <v>1</v>
      </c>
      <c r="P5">
        <v>0</v>
      </c>
      <c r="Q5">
        <v>100000</v>
      </c>
      <c r="R5">
        <v>1.08</v>
      </c>
      <c r="S5" t="b">
        <v>0</v>
      </c>
      <c r="U5" t="s">
        <v>34</v>
      </c>
    </row>
    <row r="6" spans="1:21" x14ac:dyDescent="0.3">
      <c r="A6">
        <v>5</v>
      </c>
      <c r="B6" s="2" t="s">
        <v>71</v>
      </c>
      <c r="C6" t="s">
        <v>38</v>
      </c>
      <c r="D6" s="1">
        <v>44544</v>
      </c>
      <c r="E6" s="1">
        <v>45635</v>
      </c>
      <c r="F6" t="s">
        <v>22</v>
      </c>
      <c r="G6" t="s">
        <v>23</v>
      </c>
      <c r="H6" t="s">
        <v>24</v>
      </c>
      <c r="I6" t="s">
        <v>39</v>
      </c>
      <c r="J6" t="s">
        <v>37</v>
      </c>
      <c r="K6">
        <v>110825736</v>
      </c>
      <c r="L6">
        <v>-42579.360000000001</v>
      </c>
      <c r="M6">
        <v>0.13200000000000001</v>
      </c>
      <c r="N6">
        <v>315.39999999999998</v>
      </c>
      <c r="O6" t="b">
        <v>1</v>
      </c>
      <c r="P6">
        <v>1000000</v>
      </c>
      <c r="Q6">
        <v>100000</v>
      </c>
      <c r="R6">
        <v>2350</v>
      </c>
      <c r="S6" t="b">
        <v>0</v>
      </c>
      <c r="U6" t="s">
        <v>39</v>
      </c>
    </row>
    <row r="7" spans="1:21" x14ac:dyDescent="0.3">
      <c r="A7">
        <v>6</v>
      </c>
      <c r="B7" s="2" t="s">
        <v>68</v>
      </c>
      <c r="C7" t="s">
        <v>40</v>
      </c>
      <c r="D7" s="1">
        <v>44492</v>
      </c>
      <c r="E7" s="1">
        <v>44809</v>
      </c>
      <c r="F7" t="s">
        <v>28</v>
      </c>
      <c r="G7" t="s">
        <v>29</v>
      </c>
      <c r="H7" t="s">
        <v>41</v>
      </c>
      <c r="I7" t="s">
        <v>42</v>
      </c>
      <c r="J7" t="s">
        <v>37</v>
      </c>
      <c r="K7">
        <v>65641552</v>
      </c>
      <c r="L7">
        <v>-58273.19</v>
      </c>
      <c r="M7">
        <v>0.2</v>
      </c>
      <c r="N7">
        <v>265.89999999999998</v>
      </c>
      <c r="O7" t="b">
        <v>0</v>
      </c>
      <c r="R7">
        <v>65</v>
      </c>
      <c r="S7" t="b">
        <v>0</v>
      </c>
      <c r="U7" t="s">
        <v>42</v>
      </c>
    </row>
    <row r="8" spans="1:21" x14ac:dyDescent="0.3">
      <c r="A8">
        <v>7</v>
      </c>
      <c r="B8" s="2" t="s">
        <v>68</v>
      </c>
      <c r="C8" t="s">
        <v>40</v>
      </c>
      <c r="D8" s="1">
        <v>45352</v>
      </c>
      <c r="E8" s="1">
        <v>47440</v>
      </c>
      <c r="F8" t="s">
        <v>43</v>
      </c>
      <c r="G8" t="s">
        <v>44</v>
      </c>
      <c r="H8" t="s">
        <v>45</v>
      </c>
      <c r="I8" t="s">
        <v>25</v>
      </c>
      <c r="J8" t="s">
        <v>26</v>
      </c>
      <c r="K8">
        <v>155338600</v>
      </c>
      <c r="L8">
        <v>9703052.1999999993</v>
      </c>
      <c r="M8">
        <v>0.26300000000000001</v>
      </c>
      <c r="N8">
        <v>69.900000000000006</v>
      </c>
      <c r="O8" t="b">
        <v>1</v>
      </c>
      <c r="P8">
        <v>1000000</v>
      </c>
      <c r="Q8">
        <v>50000</v>
      </c>
      <c r="R8">
        <v>2100</v>
      </c>
      <c r="S8" t="b">
        <v>1</v>
      </c>
      <c r="T8">
        <v>2393.1283763883689</v>
      </c>
      <c r="U8" t="s">
        <v>25</v>
      </c>
    </row>
    <row r="9" spans="1:21" x14ac:dyDescent="0.3">
      <c r="A9">
        <v>8</v>
      </c>
      <c r="B9" s="2" t="s">
        <v>73</v>
      </c>
      <c r="C9" t="s">
        <v>31</v>
      </c>
      <c r="D9" s="1">
        <v>45039</v>
      </c>
      <c r="E9" s="1">
        <v>47051</v>
      </c>
      <c r="F9" t="s">
        <v>22</v>
      </c>
      <c r="G9" t="s">
        <v>23</v>
      </c>
      <c r="H9" t="s">
        <v>46</v>
      </c>
      <c r="I9" t="s">
        <v>39</v>
      </c>
      <c r="J9" t="s">
        <v>26</v>
      </c>
      <c r="K9">
        <v>44596938</v>
      </c>
      <c r="L9">
        <v>1171970.3799999999</v>
      </c>
      <c r="M9">
        <v>0.42899999999999999</v>
      </c>
      <c r="N9">
        <v>287.10000000000002</v>
      </c>
      <c r="O9" t="b">
        <v>0</v>
      </c>
      <c r="R9">
        <v>82</v>
      </c>
      <c r="S9" t="b">
        <v>0</v>
      </c>
      <c r="U9" t="s">
        <v>39</v>
      </c>
    </row>
    <row r="10" spans="1:21" x14ac:dyDescent="0.3">
      <c r="A10">
        <v>9</v>
      </c>
      <c r="B10" s="2" t="s">
        <v>70</v>
      </c>
      <c r="C10" t="s">
        <v>47</v>
      </c>
      <c r="D10" s="1">
        <v>44267</v>
      </c>
      <c r="E10" s="1">
        <v>45840</v>
      </c>
      <c r="F10" t="s">
        <v>48</v>
      </c>
      <c r="G10" t="s">
        <v>49</v>
      </c>
      <c r="H10" t="s">
        <v>50</v>
      </c>
      <c r="I10" t="s">
        <v>42</v>
      </c>
      <c r="J10" t="s">
        <v>37</v>
      </c>
      <c r="K10">
        <v>177239650</v>
      </c>
      <c r="L10">
        <v>58068.17</v>
      </c>
      <c r="M10">
        <v>0.2</v>
      </c>
      <c r="N10">
        <v>130.69999999999999</v>
      </c>
      <c r="O10" t="b">
        <v>1</v>
      </c>
      <c r="P10">
        <v>0</v>
      </c>
      <c r="Q10">
        <v>50000</v>
      </c>
      <c r="R10">
        <v>3.8</v>
      </c>
      <c r="S10" t="b">
        <v>0</v>
      </c>
      <c r="U10" t="s">
        <v>42</v>
      </c>
    </row>
    <row r="11" spans="1:21" x14ac:dyDescent="0.3">
      <c r="A11">
        <v>10</v>
      </c>
      <c r="B11" s="2" t="s">
        <v>68</v>
      </c>
      <c r="C11" t="s">
        <v>40</v>
      </c>
      <c r="D11" s="1">
        <v>44665</v>
      </c>
      <c r="E11" s="1">
        <v>45546</v>
      </c>
      <c r="F11" t="s">
        <v>51</v>
      </c>
      <c r="G11" t="s">
        <v>44</v>
      </c>
      <c r="H11" t="s">
        <v>52</v>
      </c>
      <c r="I11" t="s">
        <v>42</v>
      </c>
      <c r="J11" t="s">
        <v>26</v>
      </c>
      <c r="K11">
        <v>28373746</v>
      </c>
      <c r="L11">
        <v>-25057.93</v>
      </c>
      <c r="M11">
        <v>0.20499999999999999</v>
      </c>
      <c r="N11">
        <v>149.6</v>
      </c>
      <c r="O11" t="b">
        <v>1</v>
      </c>
      <c r="P11">
        <v>0</v>
      </c>
      <c r="Q11">
        <v>50000</v>
      </c>
      <c r="R11">
        <v>18500</v>
      </c>
      <c r="S11" t="b">
        <v>0</v>
      </c>
      <c r="U11" t="s">
        <v>42</v>
      </c>
    </row>
    <row r="12" spans="1:21" x14ac:dyDescent="0.3">
      <c r="A12">
        <v>11</v>
      </c>
      <c r="B12" s="2" t="s">
        <v>72</v>
      </c>
      <c r="C12" t="s">
        <v>35</v>
      </c>
      <c r="D12" s="1">
        <v>45255</v>
      </c>
      <c r="E12" s="1">
        <v>45873</v>
      </c>
      <c r="F12" t="s">
        <v>53</v>
      </c>
      <c r="G12" t="s">
        <v>49</v>
      </c>
      <c r="H12" t="s">
        <v>50</v>
      </c>
      <c r="I12" t="s">
        <v>36</v>
      </c>
      <c r="J12" t="s">
        <v>37</v>
      </c>
      <c r="K12">
        <v>199559394</v>
      </c>
      <c r="L12">
        <v>-11498.28</v>
      </c>
      <c r="M12">
        <v>0.17899999999999999</v>
      </c>
      <c r="N12">
        <v>157.69999999999999</v>
      </c>
      <c r="O12" t="b">
        <v>1</v>
      </c>
      <c r="P12">
        <v>500000</v>
      </c>
      <c r="Q12">
        <v>100000</v>
      </c>
      <c r="R12">
        <v>3.8</v>
      </c>
      <c r="S12" t="b">
        <v>0</v>
      </c>
      <c r="U12" t="s">
        <v>36</v>
      </c>
    </row>
    <row r="13" spans="1:21" x14ac:dyDescent="0.3">
      <c r="A13">
        <v>12</v>
      </c>
      <c r="B13" s="2" t="s">
        <v>71</v>
      </c>
      <c r="C13" t="s">
        <v>38</v>
      </c>
      <c r="D13" s="1">
        <v>45175</v>
      </c>
      <c r="E13" s="1">
        <v>47976</v>
      </c>
      <c r="F13" t="s">
        <v>54</v>
      </c>
      <c r="G13" t="s">
        <v>29</v>
      </c>
      <c r="H13" t="s">
        <v>30</v>
      </c>
      <c r="I13" t="s">
        <v>42</v>
      </c>
      <c r="J13" t="s">
        <v>26</v>
      </c>
      <c r="K13">
        <v>51339321</v>
      </c>
      <c r="L13">
        <v>-673860.68</v>
      </c>
      <c r="M13">
        <v>0.34899999999999998</v>
      </c>
      <c r="N13">
        <v>264</v>
      </c>
      <c r="O13" t="b">
        <v>1</v>
      </c>
      <c r="P13">
        <v>1000000</v>
      </c>
      <c r="Q13">
        <v>250000</v>
      </c>
      <c r="R13">
        <v>380</v>
      </c>
      <c r="S13" t="b">
        <v>0</v>
      </c>
      <c r="U13" t="s">
        <v>42</v>
      </c>
    </row>
    <row r="14" spans="1:21" x14ac:dyDescent="0.3">
      <c r="A14">
        <v>13</v>
      </c>
      <c r="B14" s="2" t="s">
        <v>68</v>
      </c>
      <c r="C14" t="s">
        <v>40</v>
      </c>
      <c r="D14" s="1">
        <v>45547</v>
      </c>
      <c r="E14" s="1">
        <v>46798</v>
      </c>
      <c r="F14" t="s">
        <v>55</v>
      </c>
      <c r="G14" t="s">
        <v>49</v>
      </c>
      <c r="H14" t="s">
        <v>50</v>
      </c>
      <c r="I14" t="s">
        <v>42</v>
      </c>
      <c r="J14" t="s">
        <v>26</v>
      </c>
      <c r="K14">
        <v>47947004</v>
      </c>
      <c r="L14">
        <v>545118.30000000005</v>
      </c>
      <c r="M14">
        <v>0.34300000000000003</v>
      </c>
      <c r="N14">
        <v>378</v>
      </c>
      <c r="O14" t="b">
        <v>1</v>
      </c>
      <c r="P14">
        <v>1000000</v>
      </c>
      <c r="Q14">
        <v>100000</v>
      </c>
      <c r="R14">
        <v>3.8</v>
      </c>
      <c r="S14" t="b">
        <v>1</v>
      </c>
      <c r="T14">
        <v>3.7019851699798938</v>
      </c>
      <c r="U14" t="s">
        <v>42</v>
      </c>
    </row>
    <row r="15" spans="1:21" x14ac:dyDescent="0.3">
      <c r="A15">
        <v>14</v>
      </c>
      <c r="B15" s="2" t="s">
        <v>68</v>
      </c>
      <c r="C15" t="s">
        <v>40</v>
      </c>
      <c r="D15" s="1">
        <v>44913</v>
      </c>
      <c r="E15" s="1">
        <v>47480</v>
      </c>
      <c r="F15" t="s">
        <v>43</v>
      </c>
      <c r="G15" t="s">
        <v>44</v>
      </c>
      <c r="H15" t="s">
        <v>56</v>
      </c>
      <c r="I15" t="s">
        <v>25</v>
      </c>
      <c r="J15" t="s">
        <v>26</v>
      </c>
      <c r="K15">
        <v>49567254</v>
      </c>
      <c r="L15">
        <v>726302.17</v>
      </c>
      <c r="M15">
        <v>0.14499999999999999</v>
      </c>
      <c r="N15">
        <v>221.2</v>
      </c>
      <c r="O15" t="b">
        <v>1</v>
      </c>
      <c r="P15">
        <v>0</v>
      </c>
      <c r="Q15">
        <v>100000</v>
      </c>
      <c r="R15">
        <v>5300</v>
      </c>
      <c r="S15" t="b">
        <v>1</v>
      </c>
      <c r="T15">
        <v>5137.1609536205906</v>
      </c>
      <c r="U15" t="s">
        <v>25</v>
      </c>
    </row>
    <row r="16" spans="1:21" x14ac:dyDescent="0.3">
      <c r="A16">
        <v>15</v>
      </c>
      <c r="B16" s="2" t="s">
        <v>73</v>
      </c>
      <c r="C16" t="s">
        <v>31</v>
      </c>
      <c r="D16" s="1">
        <v>44388</v>
      </c>
      <c r="E16" s="1">
        <v>46971</v>
      </c>
      <c r="F16" t="s">
        <v>57</v>
      </c>
      <c r="G16" t="s">
        <v>23</v>
      </c>
      <c r="H16" t="s">
        <v>24</v>
      </c>
      <c r="I16" t="s">
        <v>36</v>
      </c>
      <c r="J16" t="s">
        <v>26</v>
      </c>
      <c r="K16">
        <v>170098922</v>
      </c>
      <c r="L16">
        <v>4399231.04</v>
      </c>
      <c r="M16">
        <v>0.39700000000000002</v>
      </c>
      <c r="N16">
        <v>376.2</v>
      </c>
      <c r="O16" t="b">
        <v>0</v>
      </c>
      <c r="R16">
        <v>2350</v>
      </c>
      <c r="S16" t="b">
        <v>0</v>
      </c>
      <c r="U16" t="s">
        <v>36</v>
      </c>
    </row>
    <row r="17" spans="1:24" x14ac:dyDescent="0.3">
      <c r="A17">
        <v>16</v>
      </c>
      <c r="B17" s="2" t="s">
        <v>73</v>
      </c>
      <c r="C17" t="s">
        <v>31</v>
      </c>
      <c r="D17" s="1">
        <v>43841</v>
      </c>
      <c r="E17" s="1">
        <v>44504</v>
      </c>
      <c r="F17" t="s">
        <v>58</v>
      </c>
      <c r="G17" t="s">
        <v>44</v>
      </c>
      <c r="H17" t="s">
        <v>56</v>
      </c>
      <c r="I17" t="s">
        <v>36</v>
      </c>
      <c r="J17" t="s">
        <v>26</v>
      </c>
      <c r="K17">
        <v>112003088</v>
      </c>
      <c r="L17">
        <v>-42661.27</v>
      </c>
      <c r="M17">
        <v>0.33600000000000002</v>
      </c>
      <c r="N17">
        <v>113</v>
      </c>
      <c r="O17" t="b">
        <v>0</v>
      </c>
      <c r="R17">
        <v>5300</v>
      </c>
      <c r="S17" t="b">
        <v>1</v>
      </c>
      <c r="T17">
        <v>4833.6461026588513</v>
      </c>
      <c r="U17" t="s">
        <v>36</v>
      </c>
    </row>
    <row r="18" spans="1:24" x14ac:dyDescent="0.3">
      <c r="A18">
        <v>17</v>
      </c>
      <c r="B18" s="2" t="s">
        <v>68</v>
      </c>
      <c r="C18" t="s">
        <v>40</v>
      </c>
      <c r="D18" s="1">
        <v>44447</v>
      </c>
      <c r="E18" s="1">
        <v>46469</v>
      </c>
      <c r="F18" t="s">
        <v>22</v>
      </c>
      <c r="G18" t="s">
        <v>23</v>
      </c>
      <c r="H18" t="s">
        <v>24</v>
      </c>
      <c r="I18" t="s">
        <v>36</v>
      </c>
      <c r="J18" t="s">
        <v>26</v>
      </c>
      <c r="K18">
        <v>104218744</v>
      </c>
      <c r="L18">
        <v>701579.76</v>
      </c>
      <c r="M18">
        <v>0.315</v>
      </c>
      <c r="N18">
        <v>210.1</v>
      </c>
      <c r="O18" t="b">
        <v>0</v>
      </c>
      <c r="R18">
        <v>2350</v>
      </c>
      <c r="S18" t="b">
        <v>0</v>
      </c>
      <c r="U18" t="s">
        <v>36</v>
      </c>
    </row>
    <row r="19" spans="1:24" x14ac:dyDescent="0.3">
      <c r="A19">
        <v>18</v>
      </c>
      <c r="B19" s="2" t="s">
        <v>69</v>
      </c>
      <c r="C19" t="s">
        <v>59</v>
      </c>
      <c r="D19" s="1">
        <v>44816</v>
      </c>
      <c r="E19" s="1">
        <v>45602</v>
      </c>
      <c r="F19" t="s">
        <v>22</v>
      </c>
      <c r="G19" t="s">
        <v>23</v>
      </c>
      <c r="H19" t="s">
        <v>60</v>
      </c>
      <c r="I19" t="s">
        <v>42</v>
      </c>
      <c r="J19" t="s">
        <v>26</v>
      </c>
      <c r="K19">
        <v>145878162</v>
      </c>
      <c r="L19">
        <v>201083.12</v>
      </c>
      <c r="M19">
        <v>0.184</v>
      </c>
      <c r="N19">
        <v>268.8</v>
      </c>
      <c r="O19" t="b">
        <v>1</v>
      </c>
      <c r="P19">
        <v>5000000</v>
      </c>
      <c r="Q19">
        <v>100000</v>
      </c>
      <c r="R19">
        <v>78</v>
      </c>
      <c r="S19" t="b">
        <v>0</v>
      </c>
      <c r="U19" t="s">
        <v>42</v>
      </c>
    </row>
    <row r="20" spans="1:24" x14ac:dyDescent="0.3">
      <c r="A20">
        <v>19</v>
      </c>
      <c r="B20" s="2" t="s">
        <v>71</v>
      </c>
      <c r="C20" t="s">
        <v>38</v>
      </c>
      <c r="D20" s="1">
        <v>45737</v>
      </c>
      <c r="E20" s="1">
        <v>47005</v>
      </c>
      <c r="F20" t="s">
        <v>22</v>
      </c>
      <c r="G20" t="s">
        <v>23</v>
      </c>
      <c r="H20" t="s">
        <v>24</v>
      </c>
      <c r="I20" t="s">
        <v>42</v>
      </c>
      <c r="J20" t="s">
        <v>26</v>
      </c>
      <c r="K20">
        <v>112789168</v>
      </c>
      <c r="L20">
        <v>2263644.4500000002</v>
      </c>
      <c r="M20">
        <v>0.29199999999999998</v>
      </c>
      <c r="N20">
        <v>209.6</v>
      </c>
      <c r="O20" t="b">
        <v>1</v>
      </c>
      <c r="P20">
        <v>500000</v>
      </c>
      <c r="Q20">
        <v>250000</v>
      </c>
      <c r="R20">
        <v>2350</v>
      </c>
      <c r="S20" t="b">
        <v>0</v>
      </c>
      <c r="U20" t="s">
        <v>42</v>
      </c>
    </row>
    <row r="21" spans="1:24" x14ac:dyDescent="0.3">
      <c r="A21">
        <v>20</v>
      </c>
      <c r="B21" s="2" t="s">
        <v>72</v>
      </c>
      <c r="C21" t="s">
        <v>35</v>
      </c>
      <c r="D21" s="1">
        <v>45061</v>
      </c>
      <c r="E21" s="1">
        <v>48675</v>
      </c>
      <c r="F21" t="s">
        <v>61</v>
      </c>
      <c r="G21" t="s">
        <v>33</v>
      </c>
      <c r="H21" t="s">
        <v>62</v>
      </c>
      <c r="I21" t="s">
        <v>42</v>
      </c>
      <c r="J21" t="s">
        <v>37</v>
      </c>
      <c r="K21">
        <v>32316382</v>
      </c>
      <c r="L21">
        <v>677585.85</v>
      </c>
      <c r="M21">
        <v>0.27200000000000002</v>
      </c>
      <c r="N21">
        <v>304.10000000000002</v>
      </c>
      <c r="O21" t="b">
        <v>1</v>
      </c>
      <c r="P21">
        <v>1000000</v>
      </c>
      <c r="Q21">
        <v>100000</v>
      </c>
      <c r="R21">
        <v>1.27</v>
      </c>
      <c r="S21" t="b">
        <v>1</v>
      </c>
      <c r="T21">
        <v>1.3292140257135281</v>
      </c>
      <c r="U21" t="s">
        <v>62</v>
      </c>
    </row>
    <row r="22" spans="1:24" x14ac:dyDescent="0.3">
      <c r="A22">
        <v>21</v>
      </c>
      <c r="B22" s="2" t="s">
        <v>71</v>
      </c>
      <c r="C22" t="s">
        <v>38</v>
      </c>
      <c r="D22" s="1">
        <v>45565</v>
      </c>
      <c r="E22" s="1">
        <v>48906</v>
      </c>
      <c r="F22" t="s">
        <v>61</v>
      </c>
      <c r="G22" t="s">
        <v>33</v>
      </c>
      <c r="H22" t="s">
        <v>62</v>
      </c>
      <c r="I22" t="s">
        <v>36</v>
      </c>
      <c r="J22" t="s">
        <v>37</v>
      </c>
      <c r="K22">
        <v>104711767</v>
      </c>
      <c r="L22">
        <v>-2148738.64</v>
      </c>
      <c r="M22">
        <v>0.26600000000000001</v>
      </c>
      <c r="N22">
        <v>324.39999999999998</v>
      </c>
      <c r="O22" t="b">
        <v>0</v>
      </c>
      <c r="R22">
        <v>1.27</v>
      </c>
      <c r="S22" t="b">
        <v>1</v>
      </c>
      <c r="T22">
        <v>1.158177091595167</v>
      </c>
      <c r="U22" t="s">
        <v>62</v>
      </c>
    </row>
    <row r="23" spans="1:24" x14ac:dyDescent="0.3">
      <c r="A23">
        <v>22</v>
      </c>
      <c r="B23" s="2" t="s">
        <v>73</v>
      </c>
      <c r="C23" t="s">
        <v>31</v>
      </c>
      <c r="D23" s="1">
        <v>44487</v>
      </c>
      <c r="E23" s="1">
        <v>45130</v>
      </c>
      <c r="F23" t="s">
        <v>32</v>
      </c>
      <c r="G23" t="s">
        <v>33</v>
      </c>
      <c r="H23" t="s">
        <v>63</v>
      </c>
      <c r="I23" t="s">
        <v>36</v>
      </c>
      <c r="J23" t="s">
        <v>37</v>
      </c>
      <c r="K23">
        <v>196458973</v>
      </c>
      <c r="L23">
        <v>-435029.52</v>
      </c>
      <c r="M23">
        <v>0.39</v>
      </c>
      <c r="N23">
        <v>122.6</v>
      </c>
      <c r="O23" t="b">
        <v>1</v>
      </c>
      <c r="P23">
        <v>1000000</v>
      </c>
      <c r="Q23">
        <v>100000</v>
      </c>
      <c r="R23">
        <v>148</v>
      </c>
      <c r="S23" t="b">
        <v>0</v>
      </c>
      <c r="U23" t="s">
        <v>63</v>
      </c>
    </row>
    <row r="24" spans="1:24" x14ac:dyDescent="0.3">
      <c r="A24">
        <v>23</v>
      </c>
      <c r="B24" s="2" t="s">
        <v>69</v>
      </c>
      <c r="C24" t="s">
        <v>59</v>
      </c>
      <c r="D24" s="1">
        <v>45761</v>
      </c>
      <c r="E24" s="1">
        <v>47479</v>
      </c>
      <c r="F24" t="s">
        <v>57</v>
      </c>
      <c r="G24" t="s">
        <v>23</v>
      </c>
      <c r="H24" t="s">
        <v>60</v>
      </c>
      <c r="I24" t="s">
        <v>42</v>
      </c>
      <c r="J24" t="s">
        <v>37</v>
      </c>
      <c r="K24">
        <v>169194499</v>
      </c>
      <c r="L24">
        <v>3941688.37</v>
      </c>
      <c r="M24">
        <v>0.152</v>
      </c>
      <c r="N24">
        <v>79.099999999999994</v>
      </c>
      <c r="O24" t="b">
        <v>0</v>
      </c>
      <c r="R24">
        <v>78</v>
      </c>
      <c r="S24" t="b">
        <v>0</v>
      </c>
      <c r="U24" t="s">
        <v>42</v>
      </c>
    </row>
    <row r="25" spans="1:24" x14ac:dyDescent="0.3">
      <c r="A25">
        <v>24</v>
      </c>
      <c r="B25" s="2" t="s">
        <v>70</v>
      </c>
      <c r="C25" t="s">
        <v>27</v>
      </c>
      <c r="D25" s="1">
        <v>45319</v>
      </c>
      <c r="E25" s="1">
        <v>46302</v>
      </c>
      <c r="F25" t="s">
        <v>43</v>
      </c>
      <c r="G25" t="s">
        <v>44</v>
      </c>
      <c r="H25" t="s">
        <v>45</v>
      </c>
      <c r="I25" t="s">
        <v>36</v>
      </c>
      <c r="J25" t="s">
        <v>37</v>
      </c>
      <c r="K25">
        <v>40945066</v>
      </c>
      <c r="L25">
        <v>-68611.520000000004</v>
      </c>
      <c r="M25">
        <v>0.11</v>
      </c>
      <c r="N25">
        <v>284.7</v>
      </c>
      <c r="O25" t="b">
        <v>1</v>
      </c>
      <c r="P25">
        <v>500000</v>
      </c>
      <c r="Q25">
        <v>50000</v>
      </c>
      <c r="R25">
        <v>2100</v>
      </c>
      <c r="S25" t="b">
        <v>1</v>
      </c>
      <c r="T25">
        <v>2184.4190489355142</v>
      </c>
      <c r="U25" t="s">
        <v>36</v>
      </c>
    </row>
    <row r="26" spans="1:24" x14ac:dyDescent="0.3">
      <c r="A26">
        <v>25</v>
      </c>
      <c r="B26" s="2" t="s">
        <v>70</v>
      </c>
      <c r="C26" t="s">
        <v>27</v>
      </c>
      <c r="D26" s="1">
        <v>44864</v>
      </c>
      <c r="E26" s="1">
        <v>47293</v>
      </c>
      <c r="F26" t="s">
        <v>48</v>
      </c>
      <c r="G26" t="s">
        <v>49</v>
      </c>
      <c r="H26" t="s">
        <v>64</v>
      </c>
      <c r="I26" t="s">
        <v>39</v>
      </c>
      <c r="J26" t="s">
        <v>37</v>
      </c>
      <c r="K26">
        <v>89956215</v>
      </c>
      <c r="L26">
        <v>231463.97</v>
      </c>
      <c r="M26">
        <v>0.35</v>
      </c>
      <c r="N26">
        <v>74.5</v>
      </c>
      <c r="O26" t="b">
        <v>1</v>
      </c>
      <c r="P26">
        <v>5000000</v>
      </c>
      <c r="Q26">
        <v>50000</v>
      </c>
      <c r="R26">
        <v>5.0999999999999996</v>
      </c>
      <c r="S26" t="b">
        <v>0</v>
      </c>
      <c r="U26" t="s">
        <v>39</v>
      </c>
    </row>
    <row r="27" spans="1:24" x14ac:dyDescent="0.3">
      <c r="A27">
        <v>26</v>
      </c>
      <c r="B27" s="2" t="s">
        <v>68</v>
      </c>
      <c r="C27" t="s">
        <v>40</v>
      </c>
      <c r="D27" s="1">
        <v>45444</v>
      </c>
      <c r="E27" s="1">
        <v>46767</v>
      </c>
      <c r="F27" t="s">
        <v>65</v>
      </c>
      <c r="G27" t="s">
        <v>29</v>
      </c>
      <c r="H27" t="s">
        <v>30</v>
      </c>
      <c r="I27" t="s">
        <v>25</v>
      </c>
      <c r="J27" t="s">
        <v>37</v>
      </c>
      <c r="K27">
        <v>95611393</v>
      </c>
      <c r="L27">
        <v>-1089826.3500000001</v>
      </c>
      <c r="M27">
        <v>0.32</v>
      </c>
      <c r="N27">
        <v>381.2</v>
      </c>
      <c r="O27" t="b">
        <v>0</v>
      </c>
      <c r="R27">
        <v>380</v>
      </c>
      <c r="S27" t="b">
        <v>0</v>
      </c>
      <c r="U27" t="s">
        <v>25</v>
      </c>
      <c r="X27">
        <f>COUNTIF(B2:B121,"Barclays")</f>
        <v>0</v>
      </c>
    </row>
    <row r="28" spans="1:24" x14ac:dyDescent="0.3">
      <c r="A28">
        <v>27</v>
      </c>
      <c r="B28" s="2" t="s">
        <v>73</v>
      </c>
      <c r="C28" t="s">
        <v>31</v>
      </c>
      <c r="D28" s="1">
        <v>45543</v>
      </c>
      <c r="E28" s="1">
        <v>47978</v>
      </c>
      <c r="F28" t="s">
        <v>32</v>
      </c>
      <c r="G28" t="s">
        <v>33</v>
      </c>
      <c r="H28" t="s">
        <v>63</v>
      </c>
      <c r="I28" t="s">
        <v>25</v>
      </c>
      <c r="J28" t="s">
        <v>37</v>
      </c>
      <c r="K28">
        <v>36772213</v>
      </c>
      <c r="L28">
        <v>86100.96</v>
      </c>
      <c r="M28">
        <v>0.106</v>
      </c>
      <c r="N28">
        <v>377.9</v>
      </c>
      <c r="O28" t="b">
        <v>1</v>
      </c>
      <c r="P28">
        <v>500000</v>
      </c>
      <c r="Q28">
        <v>250000</v>
      </c>
      <c r="R28">
        <v>148</v>
      </c>
      <c r="S28" t="b">
        <v>0</v>
      </c>
      <c r="U28" t="s">
        <v>63</v>
      </c>
    </row>
    <row r="29" spans="1:24" x14ac:dyDescent="0.3">
      <c r="A29">
        <v>28</v>
      </c>
      <c r="B29" s="2" t="s">
        <v>73</v>
      </c>
      <c r="C29" t="s">
        <v>31</v>
      </c>
      <c r="D29" s="1">
        <v>45713</v>
      </c>
      <c r="E29" s="1">
        <v>47178</v>
      </c>
      <c r="F29" t="s">
        <v>48</v>
      </c>
      <c r="G29" t="s">
        <v>49</v>
      </c>
      <c r="H29" t="s">
        <v>64</v>
      </c>
      <c r="I29" t="s">
        <v>36</v>
      </c>
      <c r="J29" t="s">
        <v>26</v>
      </c>
      <c r="K29">
        <v>192432159</v>
      </c>
      <c r="L29">
        <v>-389801.8</v>
      </c>
      <c r="M29">
        <v>0.41499999999999998</v>
      </c>
      <c r="N29">
        <v>55.7</v>
      </c>
      <c r="O29" t="b">
        <v>1</v>
      </c>
      <c r="P29">
        <v>500000</v>
      </c>
      <c r="Q29">
        <v>50000</v>
      </c>
      <c r="R29">
        <v>5.0999999999999996</v>
      </c>
      <c r="S29" t="b">
        <v>0</v>
      </c>
      <c r="U29" t="s">
        <v>36</v>
      </c>
    </row>
    <row r="30" spans="1:24" x14ac:dyDescent="0.3">
      <c r="A30">
        <v>29</v>
      </c>
      <c r="B30" s="2" t="s">
        <v>69</v>
      </c>
      <c r="C30" t="s">
        <v>59</v>
      </c>
      <c r="D30" s="1">
        <v>44601</v>
      </c>
      <c r="E30" s="1">
        <v>47117</v>
      </c>
      <c r="F30" t="s">
        <v>51</v>
      </c>
      <c r="G30" t="s">
        <v>44</v>
      </c>
      <c r="H30" t="s">
        <v>56</v>
      </c>
      <c r="I30" t="s">
        <v>25</v>
      </c>
      <c r="J30" t="s">
        <v>37</v>
      </c>
      <c r="K30">
        <v>71421791</v>
      </c>
      <c r="L30">
        <v>1901018.68</v>
      </c>
      <c r="M30">
        <v>0.17599999999999999</v>
      </c>
      <c r="N30">
        <v>376.6</v>
      </c>
      <c r="O30" t="b">
        <v>1</v>
      </c>
      <c r="P30">
        <v>0</v>
      </c>
      <c r="Q30">
        <v>50000</v>
      </c>
      <c r="R30">
        <v>5300</v>
      </c>
      <c r="S30" t="b">
        <v>0</v>
      </c>
      <c r="U30" t="s">
        <v>25</v>
      </c>
    </row>
    <row r="31" spans="1:24" x14ac:dyDescent="0.3">
      <c r="A31">
        <v>30</v>
      </c>
      <c r="B31" s="2" t="s">
        <v>71</v>
      </c>
      <c r="C31" t="s">
        <v>38</v>
      </c>
      <c r="D31" s="1">
        <v>45444</v>
      </c>
      <c r="E31" s="1">
        <v>49060</v>
      </c>
      <c r="F31" t="s">
        <v>53</v>
      </c>
      <c r="G31" t="s">
        <v>49</v>
      </c>
      <c r="H31" t="s">
        <v>64</v>
      </c>
      <c r="I31" t="s">
        <v>39</v>
      </c>
      <c r="J31" t="s">
        <v>37</v>
      </c>
      <c r="K31">
        <v>85460446</v>
      </c>
      <c r="L31">
        <v>103789.44</v>
      </c>
      <c r="M31">
        <v>0.218</v>
      </c>
      <c r="N31">
        <v>156.1</v>
      </c>
      <c r="O31" t="b">
        <v>0</v>
      </c>
      <c r="R31">
        <v>5.0999999999999996</v>
      </c>
      <c r="S31" t="b">
        <v>0</v>
      </c>
      <c r="U31" t="s">
        <v>39</v>
      </c>
    </row>
    <row r="32" spans="1:24" x14ac:dyDescent="0.3">
      <c r="A32">
        <v>31</v>
      </c>
      <c r="B32" s="2" t="s">
        <v>71</v>
      </c>
      <c r="C32" t="s">
        <v>38</v>
      </c>
      <c r="D32" s="1">
        <v>45340</v>
      </c>
      <c r="E32" s="1">
        <v>45798</v>
      </c>
      <c r="F32" t="s">
        <v>65</v>
      </c>
      <c r="G32" t="s">
        <v>29</v>
      </c>
      <c r="H32" t="s">
        <v>66</v>
      </c>
      <c r="I32" t="s">
        <v>39</v>
      </c>
      <c r="J32" t="s">
        <v>26</v>
      </c>
      <c r="K32">
        <v>180997816</v>
      </c>
      <c r="L32">
        <v>-126419.03</v>
      </c>
      <c r="M32">
        <v>0.26700000000000002</v>
      </c>
      <c r="N32">
        <v>174</v>
      </c>
      <c r="O32" t="b">
        <v>1</v>
      </c>
      <c r="P32">
        <v>0</v>
      </c>
      <c r="Q32">
        <v>250000</v>
      </c>
      <c r="R32">
        <v>55</v>
      </c>
      <c r="S32" t="b">
        <v>0</v>
      </c>
      <c r="U32" t="s">
        <v>39</v>
      </c>
    </row>
    <row r="33" spans="1:21" x14ac:dyDescent="0.3">
      <c r="A33">
        <v>32</v>
      </c>
      <c r="B33" s="2" t="s">
        <v>73</v>
      </c>
      <c r="C33" t="s">
        <v>31</v>
      </c>
      <c r="D33" s="1">
        <v>44796</v>
      </c>
      <c r="E33" s="1">
        <v>46641</v>
      </c>
      <c r="F33" t="s">
        <v>55</v>
      </c>
      <c r="G33" t="s">
        <v>49</v>
      </c>
      <c r="H33" t="s">
        <v>50</v>
      </c>
      <c r="I33" t="s">
        <v>36</v>
      </c>
      <c r="J33" t="s">
        <v>37</v>
      </c>
      <c r="K33">
        <v>21240460</v>
      </c>
      <c r="L33">
        <v>-120447.05</v>
      </c>
      <c r="M33">
        <v>0.114</v>
      </c>
      <c r="N33">
        <v>234.9</v>
      </c>
      <c r="O33" t="b">
        <v>1</v>
      </c>
      <c r="P33">
        <v>0</v>
      </c>
      <c r="Q33">
        <v>250000</v>
      </c>
      <c r="R33">
        <v>3.8</v>
      </c>
      <c r="S33" t="b">
        <v>1</v>
      </c>
      <c r="T33">
        <v>3.679386927835782</v>
      </c>
      <c r="U33" t="s">
        <v>36</v>
      </c>
    </row>
    <row r="34" spans="1:21" x14ac:dyDescent="0.3">
      <c r="A34">
        <v>33</v>
      </c>
      <c r="B34" s="2" t="s">
        <v>68</v>
      </c>
      <c r="C34" t="s">
        <v>40</v>
      </c>
      <c r="D34" s="1">
        <v>45822</v>
      </c>
      <c r="E34" s="1">
        <v>46112</v>
      </c>
      <c r="F34" t="s">
        <v>57</v>
      </c>
      <c r="G34" t="s">
        <v>23</v>
      </c>
      <c r="H34" t="s">
        <v>46</v>
      </c>
      <c r="I34" t="s">
        <v>25</v>
      </c>
      <c r="J34" t="s">
        <v>26</v>
      </c>
      <c r="K34">
        <v>148721933</v>
      </c>
      <c r="L34">
        <v>186418.16</v>
      </c>
      <c r="M34">
        <v>0.28199999999999997</v>
      </c>
      <c r="N34">
        <v>340.2</v>
      </c>
      <c r="O34" t="b">
        <v>1</v>
      </c>
      <c r="P34">
        <v>5000000</v>
      </c>
      <c r="Q34">
        <v>100000</v>
      </c>
      <c r="R34">
        <v>82</v>
      </c>
      <c r="S34" t="b">
        <v>0</v>
      </c>
      <c r="U34" t="s">
        <v>25</v>
      </c>
    </row>
    <row r="35" spans="1:21" x14ac:dyDescent="0.3">
      <c r="A35">
        <v>34</v>
      </c>
      <c r="B35" s="2" t="s">
        <v>68</v>
      </c>
      <c r="C35" t="s">
        <v>40</v>
      </c>
      <c r="D35" s="1">
        <v>44857</v>
      </c>
      <c r="E35" s="1">
        <v>45778</v>
      </c>
      <c r="F35" t="s">
        <v>61</v>
      </c>
      <c r="G35" t="s">
        <v>33</v>
      </c>
      <c r="H35" t="s">
        <v>62</v>
      </c>
      <c r="I35" t="s">
        <v>25</v>
      </c>
      <c r="J35" t="s">
        <v>26</v>
      </c>
      <c r="K35">
        <v>118354556</v>
      </c>
      <c r="L35">
        <v>117129.37</v>
      </c>
      <c r="M35">
        <v>0.39900000000000002</v>
      </c>
      <c r="N35">
        <v>117.6</v>
      </c>
      <c r="O35" t="b">
        <v>0</v>
      </c>
      <c r="R35">
        <v>1.27</v>
      </c>
      <c r="S35" t="b">
        <v>1</v>
      </c>
      <c r="T35">
        <v>1.18412710682373</v>
      </c>
      <c r="U35" t="s">
        <v>62</v>
      </c>
    </row>
    <row r="36" spans="1:21" x14ac:dyDescent="0.3">
      <c r="A36">
        <v>35</v>
      </c>
      <c r="B36" s="2" t="s">
        <v>71</v>
      </c>
      <c r="C36" t="s">
        <v>38</v>
      </c>
      <c r="D36" s="1">
        <v>44586</v>
      </c>
      <c r="E36" s="1">
        <v>47186</v>
      </c>
      <c r="F36" t="s">
        <v>54</v>
      </c>
      <c r="G36" t="s">
        <v>29</v>
      </c>
      <c r="H36" t="s">
        <v>66</v>
      </c>
      <c r="I36" t="s">
        <v>36</v>
      </c>
      <c r="J36" t="s">
        <v>26</v>
      </c>
      <c r="K36">
        <v>53501210</v>
      </c>
      <c r="L36">
        <v>1380111.68</v>
      </c>
      <c r="M36">
        <v>0.20200000000000001</v>
      </c>
      <c r="N36">
        <v>241.4</v>
      </c>
      <c r="O36" t="b">
        <v>0</v>
      </c>
      <c r="R36">
        <v>55</v>
      </c>
      <c r="S36" t="b">
        <v>0</v>
      </c>
      <c r="U36" t="s">
        <v>36</v>
      </c>
    </row>
    <row r="37" spans="1:21" x14ac:dyDescent="0.3">
      <c r="A37">
        <v>36</v>
      </c>
      <c r="B37" s="2" t="s">
        <v>71</v>
      </c>
      <c r="C37" t="s">
        <v>38</v>
      </c>
      <c r="D37" s="1">
        <v>44306</v>
      </c>
      <c r="E37" s="1">
        <v>45821</v>
      </c>
      <c r="F37" t="s">
        <v>55</v>
      </c>
      <c r="G37" t="s">
        <v>49</v>
      </c>
      <c r="H37" t="s">
        <v>64</v>
      </c>
      <c r="I37" t="s">
        <v>36</v>
      </c>
      <c r="J37" t="s">
        <v>26</v>
      </c>
      <c r="K37">
        <v>98154403</v>
      </c>
      <c r="L37">
        <v>-22998.39</v>
      </c>
      <c r="M37">
        <v>0.111</v>
      </c>
      <c r="N37">
        <v>191.4</v>
      </c>
      <c r="O37" t="b">
        <v>0</v>
      </c>
      <c r="R37">
        <v>5.0999999999999996</v>
      </c>
      <c r="S37" t="b">
        <v>1</v>
      </c>
      <c r="T37">
        <v>5.0948328436410879</v>
      </c>
      <c r="U37" t="s">
        <v>36</v>
      </c>
    </row>
    <row r="38" spans="1:21" x14ac:dyDescent="0.3">
      <c r="A38">
        <v>37</v>
      </c>
      <c r="B38" s="2" t="s">
        <v>71</v>
      </c>
      <c r="C38" t="s">
        <v>38</v>
      </c>
      <c r="D38" s="1">
        <v>44886</v>
      </c>
      <c r="E38" s="1">
        <v>48510</v>
      </c>
      <c r="F38" t="s">
        <v>57</v>
      </c>
      <c r="G38" t="s">
        <v>23</v>
      </c>
      <c r="H38" t="s">
        <v>24</v>
      </c>
      <c r="I38" t="s">
        <v>39</v>
      </c>
      <c r="J38" t="s">
        <v>37</v>
      </c>
      <c r="K38">
        <v>19390330</v>
      </c>
      <c r="L38">
        <v>-16889.349999999999</v>
      </c>
      <c r="M38">
        <v>0.28499999999999998</v>
      </c>
      <c r="N38">
        <v>287.39999999999998</v>
      </c>
      <c r="O38" t="b">
        <v>1</v>
      </c>
      <c r="P38">
        <v>0</v>
      </c>
      <c r="Q38">
        <v>100000</v>
      </c>
      <c r="R38">
        <v>2350</v>
      </c>
      <c r="S38" t="b">
        <v>0</v>
      </c>
      <c r="U38" t="s">
        <v>39</v>
      </c>
    </row>
    <row r="39" spans="1:21" x14ac:dyDescent="0.3">
      <c r="A39">
        <v>38</v>
      </c>
      <c r="B39" s="2" t="s">
        <v>72</v>
      </c>
      <c r="C39" t="s">
        <v>35</v>
      </c>
      <c r="D39" s="1">
        <v>45748</v>
      </c>
      <c r="E39" s="1">
        <v>46045</v>
      </c>
      <c r="F39" t="s">
        <v>51</v>
      </c>
      <c r="G39" t="s">
        <v>44</v>
      </c>
      <c r="H39" t="s">
        <v>56</v>
      </c>
      <c r="I39" t="s">
        <v>36</v>
      </c>
      <c r="J39" t="s">
        <v>37</v>
      </c>
      <c r="K39">
        <v>81931750</v>
      </c>
      <c r="L39">
        <v>24277.11</v>
      </c>
      <c r="M39">
        <v>0.11899999999999999</v>
      </c>
      <c r="N39">
        <v>92.8</v>
      </c>
      <c r="O39" t="b">
        <v>1</v>
      </c>
      <c r="P39">
        <v>5000000</v>
      </c>
      <c r="Q39">
        <v>100000</v>
      </c>
      <c r="R39">
        <v>5300</v>
      </c>
      <c r="S39" t="b">
        <v>0</v>
      </c>
      <c r="U39" t="s">
        <v>36</v>
      </c>
    </row>
    <row r="40" spans="1:21" x14ac:dyDescent="0.3">
      <c r="A40">
        <v>39</v>
      </c>
      <c r="B40" s="2" t="s">
        <v>73</v>
      </c>
      <c r="C40" t="s">
        <v>31</v>
      </c>
      <c r="D40" s="1">
        <v>44737</v>
      </c>
      <c r="E40" s="1">
        <v>44943</v>
      </c>
      <c r="F40" t="s">
        <v>67</v>
      </c>
      <c r="G40" t="s">
        <v>33</v>
      </c>
      <c r="H40" t="s">
        <v>34</v>
      </c>
      <c r="I40" t="s">
        <v>42</v>
      </c>
      <c r="J40" t="s">
        <v>37</v>
      </c>
      <c r="K40">
        <v>59553883</v>
      </c>
      <c r="L40">
        <v>-104630.62</v>
      </c>
      <c r="M40">
        <v>0.23200000000000001</v>
      </c>
      <c r="N40">
        <v>58.2</v>
      </c>
      <c r="O40" t="b">
        <v>0</v>
      </c>
      <c r="R40">
        <v>1.08</v>
      </c>
      <c r="S40" t="b">
        <v>0</v>
      </c>
      <c r="U40" t="s">
        <v>34</v>
      </c>
    </row>
    <row r="41" spans="1:21" x14ac:dyDescent="0.3">
      <c r="A41">
        <v>40</v>
      </c>
      <c r="B41" s="2" t="s">
        <v>69</v>
      </c>
      <c r="C41" t="s">
        <v>59</v>
      </c>
      <c r="D41" s="1">
        <v>45696</v>
      </c>
      <c r="E41" s="1">
        <v>48869</v>
      </c>
      <c r="F41" t="s">
        <v>57</v>
      </c>
      <c r="G41" t="s">
        <v>23</v>
      </c>
      <c r="H41" t="s">
        <v>60</v>
      </c>
      <c r="I41" t="s">
        <v>25</v>
      </c>
      <c r="J41" t="s">
        <v>37</v>
      </c>
      <c r="K41">
        <v>13817640</v>
      </c>
      <c r="L41">
        <v>113419.24</v>
      </c>
      <c r="M41">
        <v>0.09</v>
      </c>
      <c r="N41">
        <v>329.9</v>
      </c>
      <c r="O41" t="b">
        <v>0</v>
      </c>
      <c r="R41">
        <v>78</v>
      </c>
      <c r="S41" t="b">
        <v>0</v>
      </c>
      <c r="U41" t="s">
        <v>25</v>
      </c>
    </row>
    <row r="42" spans="1:21" x14ac:dyDescent="0.3">
      <c r="A42">
        <v>41</v>
      </c>
      <c r="B42" s="2" t="s">
        <v>68</v>
      </c>
      <c r="C42" t="s">
        <v>40</v>
      </c>
      <c r="D42" s="1">
        <v>45770</v>
      </c>
      <c r="E42" s="1">
        <v>48858</v>
      </c>
      <c r="F42" t="s">
        <v>43</v>
      </c>
      <c r="G42" t="s">
        <v>44</v>
      </c>
      <c r="H42" t="s">
        <v>52</v>
      </c>
      <c r="I42" t="s">
        <v>36</v>
      </c>
      <c r="J42" t="s">
        <v>26</v>
      </c>
      <c r="K42">
        <v>168474097</v>
      </c>
      <c r="L42">
        <v>9100533.8900000006</v>
      </c>
      <c r="M42">
        <v>0.253</v>
      </c>
      <c r="N42">
        <v>349.9</v>
      </c>
      <c r="O42" t="b">
        <v>0</v>
      </c>
      <c r="R42">
        <v>18500</v>
      </c>
      <c r="S42" t="b">
        <v>1</v>
      </c>
      <c r="T42">
        <v>18216.08338250481</v>
      </c>
      <c r="U42" t="s">
        <v>36</v>
      </c>
    </row>
    <row r="43" spans="1:21" x14ac:dyDescent="0.3">
      <c r="A43">
        <v>42</v>
      </c>
      <c r="B43" s="2" t="s">
        <v>71</v>
      </c>
      <c r="C43" t="s">
        <v>38</v>
      </c>
      <c r="D43" s="1">
        <v>45720</v>
      </c>
      <c r="E43" s="1">
        <v>48834</v>
      </c>
      <c r="F43" t="s">
        <v>43</v>
      </c>
      <c r="G43" t="s">
        <v>44</v>
      </c>
      <c r="H43" t="s">
        <v>45</v>
      </c>
      <c r="I43" t="s">
        <v>39</v>
      </c>
      <c r="J43" t="s">
        <v>26</v>
      </c>
      <c r="K43">
        <v>53232879</v>
      </c>
      <c r="L43">
        <v>1050471.1000000001</v>
      </c>
      <c r="M43">
        <v>0.247</v>
      </c>
      <c r="N43">
        <v>383</v>
      </c>
      <c r="O43" t="b">
        <v>1</v>
      </c>
      <c r="P43">
        <v>500000</v>
      </c>
      <c r="Q43">
        <v>50000</v>
      </c>
      <c r="R43">
        <v>2100</v>
      </c>
      <c r="S43" t="b">
        <v>1</v>
      </c>
      <c r="T43">
        <v>1950.8783340337479</v>
      </c>
      <c r="U43" t="s">
        <v>39</v>
      </c>
    </row>
    <row r="44" spans="1:21" x14ac:dyDescent="0.3">
      <c r="A44">
        <v>43</v>
      </c>
      <c r="B44" s="2" t="s">
        <v>68</v>
      </c>
      <c r="C44" t="s">
        <v>40</v>
      </c>
      <c r="D44" s="1">
        <v>44871</v>
      </c>
      <c r="E44" s="1">
        <v>47710</v>
      </c>
      <c r="F44" t="s">
        <v>61</v>
      </c>
      <c r="G44" t="s">
        <v>33</v>
      </c>
      <c r="H44" t="s">
        <v>63</v>
      </c>
      <c r="I44" t="s">
        <v>25</v>
      </c>
      <c r="J44" t="s">
        <v>37</v>
      </c>
      <c r="K44">
        <v>106431882</v>
      </c>
      <c r="L44">
        <v>-8693125.4700000007</v>
      </c>
      <c r="M44">
        <v>0.39500000000000002</v>
      </c>
      <c r="N44">
        <v>179.3</v>
      </c>
      <c r="O44" t="b">
        <v>1</v>
      </c>
      <c r="P44">
        <v>1000000</v>
      </c>
      <c r="Q44">
        <v>250000</v>
      </c>
      <c r="R44">
        <v>148</v>
      </c>
      <c r="S44" t="b">
        <v>1</v>
      </c>
      <c r="T44">
        <v>139.15364580199011</v>
      </c>
      <c r="U44" t="s">
        <v>63</v>
      </c>
    </row>
    <row r="45" spans="1:21" x14ac:dyDescent="0.3">
      <c r="A45">
        <v>44</v>
      </c>
      <c r="B45" s="2" t="s">
        <v>71</v>
      </c>
      <c r="C45" t="s">
        <v>38</v>
      </c>
      <c r="D45" s="1">
        <v>45637</v>
      </c>
      <c r="E45" s="1">
        <v>47924</v>
      </c>
      <c r="F45" t="s">
        <v>22</v>
      </c>
      <c r="G45" t="s">
        <v>23</v>
      </c>
      <c r="H45" t="s">
        <v>46</v>
      </c>
      <c r="I45" t="s">
        <v>36</v>
      </c>
      <c r="J45" t="s">
        <v>26</v>
      </c>
      <c r="K45">
        <v>196190231</v>
      </c>
      <c r="L45">
        <v>11280628.359999999</v>
      </c>
      <c r="M45">
        <v>0.30499999999999999</v>
      </c>
      <c r="N45">
        <v>235.3</v>
      </c>
      <c r="O45" t="b">
        <v>1</v>
      </c>
      <c r="P45">
        <v>500000</v>
      </c>
      <c r="Q45">
        <v>50000</v>
      </c>
      <c r="R45">
        <v>82</v>
      </c>
      <c r="S45" t="b">
        <v>0</v>
      </c>
      <c r="U45" t="s">
        <v>36</v>
      </c>
    </row>
    <row r="46" spans="1:21" x14ac:dyDescent="0.3">
      <c r="A46">
        <v>45</v>
      </c>
      <c r="B46" s="2" t="s">
        <v>72</v>
      </c>
      <c r="C46" t="s">
        <v>35</v>
      </c>
      <c r="D46" s="1">
        <v>45555</v>
      </c>
      <c r="E46" s="1">
        <v>49025</v>
      </c>
      <c r="F46" t="s">
        <v>55</v>
      </c>
      <c r="G46" t="s">
        <v>49</v>
      </c>
      <c r="H46" t="s">
        <v>50</v>
      </c>
      <c r="I46" t="s">
        <v>36</v>
      </c>
      <c r="J46" t="s">
        <v>37</v>
      </c>
      <c r="K46">
        <v>33679328</v>
      </c>
      <c r="L46">
        <v>3351599.54</v>
      </c>
      <c r="M46">
        <v>0.42299999999999999</v>
      </c>
      <c r="N46">
        <v>392.6</v>
      </c>
      <c r="O46" t="b">
        <v>1</v>
      </c>
      <c r="P46">
        <v>0</v>
      </c>
      <c r="Q46">
        <v>100000</v>
      </c>
      <c r="R46">
        <v>3.8</v>
      </c>
      <c r="S46" t="b">
        <v>1</v>
      </c>
      <c r="T46">
        <v>3.8154455574519122</v>
      </c>
      <c r="U46" t="s">
        <v>36</v>
      </c>
    </row>
    <row r="47" spans="1:21" x14ac:dyDescent="0.3">
      <c r="A47">
        <v>46</v>
      </c>
      <c r="B47" s="2" t="s">
        <v>69</v>
      </c>
      <c r="C47" t="s">
        <v>21</v>
      </c>
      <c r="D47" s="1">
        <v>44087</v>
      </c>
      <c r="E47" s="1">
        <v>44718</v>
      </c>
      <c r="F47" t="s">
        <v>51</v>
      </c>
      <c r="G47" t="s">
        <v>44</v>
      </c>
      <c r="H47" t="s">
        <v>45</v>
      </c>
      <c r="I47" t="s">
        <v>39</v>
      </c>
      <c r="J47" t="s">
        <v>26</v>
      </c>
      <c r="K47">
        <v>32071298</v>
      </c>
      <c r="L47">
        <v>2823.66</v>
      </c>
      <c r="M47">
        <v>0.317</v>
      </c>
      <c r="N47">
        <v>157.9</v>
      </c>
      <c r="O47" t="b">
        <v>0</v>
      </c>
      <c r="R47">
        <v>2100</v>
      </c>
      <c r="S47" t="b">
        <v>0</v>
      </c>
      <c r="U47" t="s">
        <v>39</v>
      </c>
    </row>
    <row r="48" spans="1:21" x14ac:dyDescent="0.3">
      <c r="A48">
        <v>47</v>
      </c>
      <c r="B48" s="2" t="s">
        <v>69</v>
      </c>
      <c r="C48" t="s">
        <v>21</v>
      </c>
      <c r="D48" s="1">
        <v>44278</v>
      </c>
      <c r="E48" s="1">
        <v>47293</v>
      </c>
      <c r="F48" t="s">
        <v>22</v>
      </c>
      <c r="G48" t="s">
        <v>23</v>
      </c>
      <c r="H48" t="s">
        <v>46</v>
      </c>
      <c r="I48" t="s">
        <v>39</v>
      </c>
      <c r="J48" t="s">
        <v>37</v>
      </c>
      <c r="K48">
        <v>72291112</v>
      </c>
      <c r="L48">
        <v>-65237.37</v>
      </c>
      <c r="M48">
        <v>0.20899999999999999</v>
      </c>
      <c r="N48">
        <v>161.69999999999999</v>
      </c>
      <c r="O48" t="b">
        <v>0</v>
      </c>
      <c r="R48">
        <v>82</v>
      </c>
      <c r="S48" t="b">
        <v>0</v>
      </c>
      <c r="U48" t="s">
        <v>39</v>
      </c>
    </row>
    <row r="49" spans="1:21" x14ac:dyDescent="0.3">
      <c r="A49">
        <v>48</v>
      </c>
      <c r="B49" s="2" t="s">
        <v>68</v>
      </c>
      <c r="C49" t="s">
        <v>40</v>
      </c>
      <c r="D49" s="1">
        <v>45429</v>
      </c>
      <c r="E49" s="1">
        <v>47754</v>
      </c>
      <c r="F49" t="s">
        <v>67</v>
      </c>
      <c r="G49" t="s">
        <v>33</v>
      </c>
      <c r="H49" t="s">
        <v>63</v>
      </c>
      <c r="I49" t="s">
        <v>39</v>
      </c>
      <c r="J49" t="s">
        <v>37</v>
      </c>
      <c r="K49">
        <v>20943011</v>
      </c>
      <c r="L49">
        <v>419971.45</v>
      </c>
      <c r="M49">
        <v>0.40300000000000002</v>
      </c>
      <c r="N49">
        <v>52.6</v>
      </c>
      <c r="O49" t="b">
        <v>1</v>
      </c>
      <c r="P49">
        <v>0</v>
      </c>
      <c r="Q49">
        <v>50000</v>
      </c>
      <c r="R49">
        <v>148</v>
      </c>
      <c r="S49" t="b">
        <v>0</v>
      </c>
      <c r="U49" t="s">
        <v>63</v>
      </c>
    </row>
    <row r="50" spans="1:21" x14ac:dyDescent="0.3">
      <c r="A50">
        <v>49</v>
      </c>
      <c r="B50" s="2" t="s">
        <v>69</v>
      </c>
      <c r="C50" t="s">
        <v>21</v>
      </c>
      <c r="D50" s="1">
        <v>44800</v>
      </c>
      <c r="E50" s="1">
        <v>47091</v>
      </c>
      <c r="F50" t="s">
        <v>28</v>
      </c>
      <c r="G50" t="s">
        <v>29</v>
      </c>
      <c r="H50" t="s">
        <v>66</v>
      </c>
      <c r="I50" t="s">
        <v>36</v>
      </c>
      <c r="J50" t="s">
        <v>37</v>
      </c>
      <c r="K50">
        <v>76938159</v>
      </c>
      <c r="L50">
        <v>-1255274.1299999999</v>
      </c>
      <c r="M50">
        <v>0.251</v>
      </c>
      <c r="N50">
        <v>219.3</v>
      </c>
      <c r="O50" t="b">
        <v>1</v>
      </c>
      <c r="P50">
        <v>0</v>
      </c>
      <c r="Q50">
        <v>100000</v>
      </c>
      <c r="R50">
        <v>55</v>
      </c>
      <c r="S50" t="b">
        <v>0</v>
      </c>
      <c r="U50" t="s">
        <v>36</v>
      </c>
    </row>
    <row r="51" spans="1:21" x14ac:dyDescent="0.3">
      <c r="A51">
        <v>50</v>
      </c>
      <c r="B51" s="2" t="s">
        <v>70</v>
      </c>
      <c r="C51" t="s">
        <v>27</v>
      </c>
      <c r="D51" s="1">
        <v>45305</v>
      </c>
      <c r="E51" s="1">
        <v>46044</v>
      </c>
      <c r="F51" t="s">
        <v>51</v>
      </c>
      <c r="G51" t="s">
        <v>44</v>
      </c>
      <c r="H51" t="s">
        <v>45</v>
      </c>
      <c r="I51" t="s">
        <v>42</v>
      </c>
      <c r="J51" t="s">
        <v>26</v>
      </c>
      <c r="K51">
        <v>114973192</v>
      </c>
      <c r="L51">
        <v>222060.9</v>
      </c>
      <c r="M51">
        <v>0.39100000000000001</v>
      </c>
      <c r="N51">
        <v>228.1</v>
      </c>
      <c r="O51" t="b">
        <v>1</v>
      </c>
      <c r="P51">
        <v>0</v>
      </c>
      <c r="Q51">
        <v>50000</v>
      </c>
      <c r="R51">
        <v>2100</v>
      </c>
      <c r="S51" t="b">
        <v>0</v>
      </c>
      <c r="U51" t="s">
        <v>42</v>
      </c>
    </row>
    <row r="52" spans="1:21" x14ac:dyDescent="0.3">
      <c r="A52">
        <v>51</v>
      </c>
      <c r="B52" s="2" t="s">
        <v>73</v>
      </c>
      <c r="C52" t="s">
        <v>31</v>
      </c>
      <c r="D52" s="1">
        <v>44004</v>
      </c>
      <c r="E52" s="1">
        <v>46006</v>
      </c>
      <c r="F52" t="s">
        <v>61</v>
      </c>
      <c r="G52" t="s">
        <v>33</v>
      </c>
      <c r="H52" t="s">
        <v>34</v>
      </c>
      <c r="I52" t="s">
        <v>39</v>
      </c>
      <c r="J52" t="s">
        <v>37</v>
      </c>
      <c r="K52">
        <v>119434018</v>
      </c>
      <c r="L52">
        <v>-220510.81</v>
      </c>
      <c r="M52">
        <v>0.35599999999999998</v>
      </c>
      <c r="N52">
        <v>164.3</v>
      </c>
      <c r="O52" t="b">
        <v>1</v>
      </c>
      <c r="P52">
        <v>500000</v>
      </c>
      <c r="Q52">
        <v>250000</v>
      </c>
      <c r="R52">
        <v>1.08</v>
      </c>
      <c r="S52" t="b">
        <v>1</v>
      </c>
      <c r="T52">
        <v>1.1059347156441841</v>
      </c>
      <c r="U52" t="s">
        <v>34</v>
      </c>
    </row>
    <row r="53" spans="1:21" x14ac:dyDescent="0.3">
      <c r="A53">
        <v>52</v>
      </c>
      <c r="B53" s="2" t="s">
        <v>69</v>
      </c>
      <c r="C53" t="s">
        <v>21</v>
      </c>
      <c r="D53" s="1">
        <v>44281</v>
      </c>
      <c r="E53" s="1">
        <v>45672</v>
      </c>
      <c r="F53" t="s">
        <v>57</v>
      </c>
      <c r="G53" t="s">
        <v>23</v>
      </c>
      <c r="H53" t="s">
        <v>60</v>
      </c>
      <c r="I53" t="s">
        <v>39</v>
      </c>
      <c r="J53" t="s">
        <v>37</v>
      </c>
      <c r="K53">
        <v>100122911</v>
      </c>
      <c r="L53">
        <v>-37638.089999999997</v>
      </c>
      <c r="M53">
        <v>0.39500000000000002</v>
      </c>
      <c r="N53">
        <v>328.2</v>
      </c>
      <c r="O53" t="b">
        <v>1</v>
      </c>
      <c r="P53">
        <v>0</v>
      </c>
      <c r="Q53">
        <v>250000</v>
      </c>
      <c r="R53">
        <v>78</v>
      </c>
      <c r="S53" t="b">
        <v>0</v>
      </c>
      <c r="U53" t="s">
        <v>39</v>
      </c>
    </row>
    <row r="54" spans="1:21" x14ac:dyDescent="0.3">
      <c r="A54">
        <v>53</v>
      </c>
      <c r="B54" s="2" t="s">
        <v>69</v>
      </c>
      <c r="C54" t="s">
        <v>21</v>
      </c>
      <c r="D54" s="1">
        <v>44982</v>
      </c>
      <c r="E54" s="1">
        <v>48338</v>
      </c>
      <c r="F54" t="s">
        <v>22</v>
      </c>
      <c r="G54" t="s">
        <v>23</v>
      </c>
      <c r="H54" t="s">
        <v>24</v>
      </c>
      <c r="I54" t="s">
        <v>25</v>
      </c>
      <c r="J54" t="s">
        <v>37</v>
      </c>
      <c r="K54">
        <v>6033501</v>
      </c>
      <c r="L54">
        <v>-572583.14</v>
      </c>
      <c r="M54">
        <v>0.441</v>
      </c>
      <c r="N54">
        <v>295.8</v>
      </c>
      <c r="O54" t="b">
        <v>1</v>
      </c>
      <c r="P54">
        <v>500000</v>
      </c>
      <c r="Q54">
        <v>250000</v>
      </c>
      <c r="R54">
        <v>2350</v>
      </c>
      <c r="S54" t="b">
        <v>0</v>
      </c>
      <c r="U54" t="s">
        <v>25</v>
      </c>
    </row>
    <row r="55" spans="1:21" x14ac:dyDescent="0.3">
      <c r="A55">
        <v>54</v>
      </c>
      <c r="B55" s="2" t="s">
        <v>71</v>
      </c>
      <c r="C55" t="s">
        <v>38</v>
      </c>
      <c r="D55" s="1">
        <v>45252</v>
      </c>
      <c r="E55" s="1">
        <v>46053</v>
      </c>
      <c r="F55" t="s">
        <v>65</v>
      </c>
      <c r="G55" t="s">
        <v>29</v>
      </c>
      <c r="H55" t="s">
        <v>30</v>
      </c>
      <c r="I55" t="s">
        <v>25</v>
      </c>
      <c r="J55" t="s">
        <v>37</v>
      </c>
      <c r="K55">
        <v>148568200</v>
      </c>
      <c r="L55">
        <v>15275.86</v>
      </c>
      <c r="M55">
        <v>0.27600000000000002</v>
      </c>
      <c r="N55">
        <v>314.10000000000002</v>
      </c>
      <c r="O55" t="b">
        <v>1</v>
      </c>
      <c r="P55">
        <v>500000</v>
      </c>
      <c r="Q55">
        <v>250000</v>
      </c>
      <c r="R55">
        <v>380</v>
      </c>
      <c r="S55" t="b">
        <v>0</v>
      </c>
      <c r="U55" t="s">
        <v>25</v>
      </c>
    </row>
    <row r="56" spans="1:21" x14ac:dyDescent="0.3">
      <c r="A56">
        <v>55</v>
      </c>
      <c r="B56" s="2" t="s">
        <v>73</v>
      </c>
      <c r="C56" t="s">
        <v>31</v>
      </c>
      <c r="D56" s="1">
        <v>44504</v>
      </c>
      <c r="E56" s="1">
        <v>45073</v>
      </c>
      <c r="F56" t="s">
        <v>57</v>
      </c>
      <c r="G56" t="s">
        <v>23</v>
      </c>
      <c r="H56" t="s">
        <v>24</v>
      </c>
      <c r="I56" t="s">
        <v>39</v>
      </c>
      <c r="J56" t="s">
        <v>37</v>
      </c>
      <c r="K56">
        <v>17358119</v>
      </c>
      <c r="L56">
        <v>38952.19</v>
      </c>
      <c r="M56">
        <v>0.44600000000000001</v>
      </c>
      <c r="N56">
        <v>282.2</v>
      </c>
      <c r="O56" t="b">
        <v>0</v>
      </c>
      <c r="R56">
        <v>2350</v>
      </c>
      <c r="S56" t="b">
        <v>0</v>
      </c>
      <c r="U56" t="s">
        <v>39</v>
      </c>
    </row>
    <row r="57" spans="1:21" x14ac:dyDescent="0.3">
      <c r="A57">
        <v>56</v>
      </c>
      <c r="B57" s="2" t="s">
        <v>69</v>
      </c>
      <c r="C57" t="s">
        <v>21</v>
      </c>
      <c r="D57" s="1">
        <v>45492</v>
      </c>
      <c r="E57" s="1">
        <v>49017</v>
      </c>
      <c r="F57" t="s">
        <v>58</v>
      </c>
      <c r="G57" t="s">
        <v>44</v>
      </c>
      <c r="H57" t="s">
        <v>45</v>
      </c>
      <c r="I57" t="s">
        <v>39</v>
      </c>
      <c r="J57" t="s">
        <v>26</v>
      </c>
      <c r="K57">
        <v>29237958</v>
      </c>
      <c r="L57">
        <v>-814181.09</v>
      </c>
      <c r="M57">
        <v>0.35</v>
      </c>
      <c r="N57">
        <v>97.1</v>
      </c>
      <c r="O57" t="b">
        <v>1</v>
      </c>
      <c r="P57">
        <v>5000000</v>
      </c>
      <c r="Q57">
        <v>100000</v>
      </c>
      <c r="R57">
        <v>2100</v>
      </c>
      <c r="S57" t="b">
        <v>1</v>
      </c>
      <c r="T57">
        <v>2198.5526961186092</v>
      </c>
      <c r="U57" t="s">
        <v>39</v>
      </c>
    </row>
    <row r="58" spans="1:21" x14ac:dyDescent="0.3">
      <c r="A58">
        <v>57</v>
      </c>
      <c r="B58" s="2" t="s">
        <v>73</v>
      </c>
      <c r="C58" t="s">
        <v>31</v>
      </c>
      <c r="D58" s="1">
        <v>44234</v>
      </c>
      <c r="E58" s="1">
        <v>44907</v>
      </c>
      <c r="F58" t="s">
        <v>22</v>
      </c>
      <c r="G58" t="s">
        <v>23</v>
      </c>
      <c r="H58" t="s">
        <v>24</v>
      </c>
      <c r="I58" t="s">
        <v>39</v>
      </c>
      <c r="J58" t="s">
        <v>26</v>
      </c>
      <c r="K58">
        <v>37031830</v>
      </c>
      <c r="L58">
        <v>-20442.349999999999</v>
      </c>
      <c r="M58">
        <v>0.38100000000000001</v>
      </c>
      <c r="N58">
        <v>354.6</v>
      </c>
      <c r="O58" t="b">
        <v>1</v>
      </c>
      <c r="P58">
        <v>5000000</v>
      </c>
      <c r="Q58">
        <v>250000</v>
      </c>
      <c r="R58">
        <v>2350</v>
      </c>
      <c r="S58" t="b">
        <v>0</v>
      </c>
      <c r="U58" t="s">
        <v>39</v>
      </c>
    </row>
    <row r="59" spans="1:21" x14ac:dyDescent="0.3">
      <c r="A59">
        <v>58</v>
      </c>
      <c r="B59" s="2" t="s">
        <v>72</v>
      </c>
      <c r="C59" t="s">
        <v>35</v>
      </c>
      <c r="D59" s="1">
        <v>44708</v>
      </c>
      <c r="E59" s="1">
        <v>46854</v>
      </c>
      <c r="F59" t="s">
        <v>43</v>
      </c>
      <c r="G59" t="s">
        <v>44</v>
      </c>
      <c r="H59" t="s">
        <v>52</v>
      </c>
      <c r="I59" t="s">
        <v>39</v>
      </c>
      <c r="J59" t="s">
        <v>26</v>
      </c>
      <c r="K59">
        <v>74295678</v>
      </c>
      <c r="L59">
        <v>2249861.61</v>
      </c>
      <c r="M59">
        <v>0.22500000000000001</v>
      </c>
      <c r="N59">
        <v>54.6</v>
      </c>
      <c r="O59" t="b">
        <v>1</v>
      </c>
      <c r="P59">
        <v>1000000</v>
      </c>
      <c r="Q59">
        <v>250000</v>
      </c>
      <c r="R59">
        <v>18500</v>
      </c>
      <c r="S59" t="b">
        <v>1</v>
      </c>
      <c r="T59">
        <v>19878.03108032927</v>
      </c>
      <c r="U59" t="s">
        <v>39</v>
      </c>
    </row>
    <row r="60" spans="1:21" x14ac:dyDescent="0.3">
      <c r="A60">
        <v>59</v>
      </c>
      <c r="B60" s="2" t="s">
        <v>72</v>
      </c>
      <c r="C60" t="s">
        <v>35</v>
      </c>
      <c r="D60" s="1">
        <v>44109</v>
      </c>
      <c r="E60" s="1">
        <v>47025</v>
      </c>
      <c r="F60" t="s">
        <v>51</v>
      </c>
      <c r="G60" t="s">
        <v>44</v>
      </c>
      <c r="H60" t="s">
        <v>45</v>
      </c>
      <c r="I60" t="s">
        <v>42</v>
      </c>
      <c r="J60" t="s">
        <v>37</v>
      </c>
      <c r="K60">
        <v>125914187</v>
      </c>
      <c r="L60">
        <v>465119.94</v>
      </c>
      <c r="M60">
        <v>0.27700000000000002</v>
      </c>
      <c r="N60">
        <v>145.30000000000001</v>
      </c>
      <c r="O60" t="b">
        <v>1</v>
      </c>
      <c r="P60">
        <v>1000000</v>
      </c>
      <c r="Q60">
        <v>50000</v>
      </c>
      <c r="R60">
        <v>2100</v>
      </c>
      <c r="S60" t="b">
        <v>0</v>
      </c>
      <c r="U60" t="s">
        <v>42</v>
      </c>
    </row>
    <row r="61" spans="1:21" x14ac:dyDescent="0.3">
      <c r="A61">
        <v>60</v>
      </c>
      <c r="B61" s="2" t="s">
        <v>72</v>
      </c>
      <c r="C61" t="s">
        <v>35</v>
      </c>
      <c r="D61" s="1">
        <v>45584</v>
      </c>
      <c r="E61" s="1">
        <v>46892</v>
      </c>
      <c r="F61" t="s">
        <v>54</v>
      </c>
      <c r="G61" t="s">
        <v>29</v>
      </c>
      <c r="H61" t="s">
        <v>30</v>
      </c>
      <c r="I61" t="s">
        <v>25</v>
      </c>
      <c r="J61" t="s">
        <v>26</v>
      </c>
      <c r="K61">
        <v>165145174</v>
      </c>
      <c r="L61">
        <v>331464.03999999998</v>
      </c>
      <c r="M61">
        <v>0.121</v>
      </c>
      <c r="N61">
        <v>77.2</v>
      </c>
      <c r="O61" t="b">
        <v>1</v>
      </c>
      <c r="P61">
        <v>0</v>
      </c>
      <c r="Q61">
        <v>50000</v>
      </c>
      <c r="R61">
        <v>380</v>
      </c>
      <c r="S61" t="b">
        <v>0</v>
      </c>
      <c r="U61" t="s">
        <v>25</v>
      </c>
    </row>
    <row r="62" spans="1:21" x14ac:dyDescent="0.3">
      <c r="A62">
        <v>61</v>
      </c>
      <c r="B62" s="2" t="s">
        <v>71</v>
      </c>
      <c r="C62" t="s">
        <v>38</v>
      </c>
      <c r="D62" s="1">
        <v>45027</v>
      </c>
      <c r="E62" s="1">
        <v>47130</v>
      </c>
      <c r="F62" t="s">
        <v>65</v>
      </c>
      <c r="G62" t="s">
        <v>29</v>
      </c>
      <c r="H62" t="s">
        <v>30</v>
      </c>
      <c r="I62" t="s">
        <v>36</v>
      </c>
      <c r="J62" t="s">
        <v>26</v>
      </c>
      <c r="K62">
        <v>144654919</v>
      </c>
      <c r="L62">
        <v>4017213.78</v>
      </c>
      <c r="M62">
        <v>0.30199999999999999</v>
      </c>
      <c r="N62">
        <v>136.5</v>
      </c>
      <c r="O62" t="b">
        <v>1</v>
      </c>
      <c r="P62">
        <v>500000</v>
      </c>
      <c r="Q62">
        <v>50000</v>
      </c>
      <c r="R62">
        <v>380</v>
      </c>
      <c r="S62" t="b">
        <v>0</v>
      </c>
      <c r="U62" t="s">
        <v>36</v>
      </c>
    </row>
    <row r="63" spans="1:21" x14ac:dyDescent="0.3">
      <c r="A63">
        <v>62</v>
      </c>
      <c r="B63" s="2" t="s">
        <v>72</v>
      </c>
      <c r="C63" t="s">
        <v>35</v>
      </c>
      <c r="D63" s="1">
        <v>45575</v>
      </c>
      <c r="E63" s="1">
        <v>48983</v>
      </c>
      <c r="F63" t="s">
        <v>67</v>
      </c>
      <c r="G63" t="s">
        <v>33</v>
      </c>
      <c r="H63" t="s">
        <v>34</v>
      </c>
      <c r="I63" t="s">
        <v>36</v>
      </c>
      <c r="J63" t="s">
        <v>37</v>
      </c>
      <c r="K63">
        <v>115200970</v>
      </c>
      <c r="L63">
        <v>3630657.32</v>
      </c>
      <c r="M63">
        <v>0.33800000000000002</v>
      </c>
      <c r="N63">
        <v>291.7</v>
      </c>
      <c r="O63" t="b">
        <v>1</v>
      </c>
      <c r="P63">
        <v>5000000</v>
      </c>
      <c r="Q63">
        <v>250000</v>
      </c>
      <c r="R63">
        <v>1.08</v>
      </c>
      <c r="S63" t="b">
        <v>0</v>
      </c>
      <c r="U63" t="s">
        <v>34</v>
      </c>
    </row>
    <row r="64" spans="1:21" x14ac:dyDescent="0.3">
      <c r="A64">
        <v>63</v>
      </c>
      <c r="B64" s="2" t="s">
        <v>70</v>
      </c>
      <c r="C64" t="s">
        <v>47</v>
      </c>
      <c r="D64" s="1">
        <v>45682</v>
      </c>
      <c r="E64" s="1">
        <v>47377</v>
      </c>
      <c r="F64" t="s">
        <v>43</v>
      </c>
      <c r="G64" t="s">
        <v>44</v>
      </c>
      <c r="H64" t="s">
        <v>52</v>
      </c>
      <c r="I64" t="s">
        <v>42</v>
      </c>
      <c r="J64" t="s">
        <v>26</v>
      </c>
      <c r="K64">
        <v>27081418</v>
      </c>
      <c r="L64">
        <v>-2693816.67</v>
      </c>
      <c r="M64">
        <v>0.44400000000000001</v>
      </c>
      <c r="N64">
        <v>50.3</v>
      </c>
      <c r="O64" t="b">
        <v>1</v>
      </c>
      <c r="P64">
        <v>5000000</v>
      </c>
      <c r="Q64">
        <v>50000</v>
      </c>
      <c r="R64">
        <v>18500</v>
      </c>
      <c r="S64" t="b">
        <v>1</v>
      </c>
      <c r="T64">
        <v>19259.13613421865</v>
      </c>
      <c r="U64" t="s">
        <v>42</v>
      </c>
    </row>
    <row r="65" spans="1:21" x14ac:dyDescent="0.3">
      <c r="A65">
        <v>64</v>
      </c>
      <c r="B65" s="2" t="s">
        <v>71</v>
      </c>
      <c r="C65" t="s">
        <v>38</v>
      </c>
      <c r="D65" s="1">
        <v>44905</v>
      </c>
      <c r="E65" s="1">
        <v>48269</v>
      </c>
      <c r="F65" t="s">
        <v>67</v>
      </c>
      <c r="G65" t="s">
        <v>33</v>
      </c>
      <c r="H65" t="s">
        <v>63</v>
      </c>
      <c r="I65" t="s">
        <v>36</v>
      </c>
      <c r="J65" t="s">
        <v>37</v>
      </c>
      <c r="K65">
        <v>72537468</v>
      </c>
      <c r="L65">
        <v>-931928.04</v>
      </c>
      <c r="M65">
        <v>0.20799999999999999</v>
      </c>
      <c r="N65">
        <v>197.3</v>
      </c>
      <c r="O65" t="b">
        <v>1</v>
      </c>
      <c r="P65">
        <v>5000000</v>
      </c>
      <c r="Q65">
        <v>250000</v>
      </c>
      <c r="R65">
        <v>148</v>
      </c>
      <c r="S65" t="b">
        <v>0</v>
      </c>
      <c r="U65" t="s">
        <v>63</v>
      </c>
    </row>
    <row r="66" spans="1:21" x14ac:dyDescent="0.3">
      <c r="A66">
        <v>65</v>
      </c>
      <c r="B66" s="2" t="s">
        <v>69</v>
      </c>
      <c r="C66" t="s">
        <v>59</v>
      </c>
      <c r="D66" s="1">
        <v>44453</v>
      </c>
      <c r="E66" s="1">
        <v>47321</v>
      </c>
      <c r="F66" t="s">
        <v>55</v>
      </c>
      <c r="G66" t="s">
        <v>49</v>
      </c>
      <c r="H66" t="s">
        <v>50</v>
      </c>
      <c r="I66" t="s">
        <v>39</v>
      </c>
      <c r="J66" t="s">
        <v>37</v>
      </c>
      <c r="K66">
        <v>59129498</v>
      </c>
      <c r="L66">
        <v>-64229.120000000003</v>
      </c>
      <c r="M66">
        <v>0.161</v>
      </c>
      <c r="N66">
        <v>199.8</v>
      </c>
      <c r="O66" t="b">
        <v>1</v>
      </c>
      <c r="P66">
        <v>500000</v>
      </c>
      <c r="Q66">
        <v>250000</v>
      </c>
      <c r="R66">
        <v>3.8</v>
      </c>
      <c r="S66" t="b">
        <v>1</v>
      </c>
      <c r="T66">
        <v>3.9485095165473991</v>
      </c>
      <c r="U66" t="s">
        <v>39</v>
      </c>
    </row>
    <row r="67" spans="1:21" x14ac:dyDescent="0.3">
      <c r="A67">
        <v>66</v>
      </c>
      <c r="B67" s="2" t="s">
        <v>71</v>
      </c>
      <c r="C67" t="s">
        <v>38</v>
      </c>
      <c r="D67" s="1">
        <v>44625</v>
      </c>
      <c r="E67" s="1">
        <v>46235</v>
      </c>
      <c r="F67" t="s">
        <v>55</v>
      </c>
      <c r="G67" t="s">
        <v>49</v>
      </c>
      <c r="H67" t="s">
        <v>64</v>
      </c>
      <c r="I67" t="s">
        <v>42</v>
      </c>
      <c r="J67" t="s">
        <v>26</v>
      </c>
      <c r="K67">
        <v>160957494</v>
      </c>
      <c r="L67">
        <v>-249727.67</v>
      </c>
      <c r="M67">
        <v>0.20899999999999999</v>
      </c>
      <c r="N67">
        <v>261.2</v>
      </c>
      <c r="O67" t="b">
        <v>1</v>
      </c>
      <c r="P67">
        <v>5000000</v>
      </c>
      <c r="Q67">
        <v>250000</v>
      </c>
      <c r="R67">
        <v>5.0999999999999996</v>
      </c>
      <c r="S67" t="b">
        <v>1</v>
      </c>
      <c r="T67">
        <v>5.0691667410874093</v>
      </c>
      <c r="U67" t="s">
        <v>42</v>
      </c>
    </row>
    <row r="68" spans="1:21" x14ac:dyDescent="0.3">
      <c r="A68">
        <v>67</v>
      </c>
      <c r="B68" s="2" t="s">
        <v>70</v>
      </c>
      <c r="C68" t="s">
        <v>47</v>
      </c>
      <c r="D68" s="1">
        <v>44712</v>
      </c>
      <c r="E68" s="1">
        <v>46229</v>
      </c>
      <c r="F68" t="s">
        <v>51</v>
      </c>
      <c r="G68" t="s">
        <v>44</v>
      </c>
      <c r="H68" t="s">
        <v>52</v>
      </c>
      <c r="I68" t="s">
        <v>25</v>
      </c>
      <c r="J68" t="s">
        <v>37</v>
      </c>
      <c r="K68">
        <v>114129864</v>
      </c>
      <c r="L68">
        <v>-22659.57</v>
      </c>
      <c r="M68">
        <v>0.13700000000000001</v>
      </c>
      <c r="N68">
        <v>168.1</v>
      </c>
      <c r="O68" t="b">
        <v>1</v>
      </c>
      <c r="P68">
        <v>500000</v>
      </c>
      <c r="Q68">
        <v>100000</v>
      </c>
      <c r="R68">
        <v>18500</v>
      </c>
      <c r="S68" t="b">
        <v>0</v>
      </c>
      <c r="U68" t="s">
        <v>25</v>
      </c>
    </row>
    <row r="69" spans="1:21" x14ac:dyDescent="0.3">
      <c r="A69">
        <v>68</v>
      </c>
      <c r="B69" s="2" t="s">
        <v>73</v>
      </c>
      <c r="C69" t="s">
        <v>31</v>
      </c>
      <c r="D69" s="1">
        <v>45262</v>
      </c>
      <c r="E69" s="1">
        <v>47698</v>
      </c>
      <c r="F69" t="s">
        <v>55</v>
      </c>
      <c r="G69" t="s">
        <v>49</v>
      </c>
      <c r="H69" t="s">
        <v>64</v>
      </c>
      <c r="I69" t="s">
        <v>42</v>
      </c>
      <c r="J69" t="s">
        <v>37</v>
      </c>
      <c r="K69">
        <v>10283718</v>
      </c>
      <c r="L69">
        <v>-42423.18</v>
      </c>
      <c r="M69">
        <v>0.16200000000000001</v>
      </c>
      <c r="N69">
        <v>278.60000000000002</v>
      </c>
      <c r="O69" t="b">
        <v>1</v>
      </c>
      <c r="P69">
        <v>500000</v>
      </c>
      <c r="Q69">
        <v>50000</v>
      </c>
      <c r="R69">
        <v>5.0999999999999996</v>
      </c>
      <c r="S69" t="b">
        <v>1</v>
      </c>
      <c r="T69">
        <v>5.7200852611002562</v>
      </c>
      <c r="U69" t="s">
        <v>42</v>
      </c>
    </row>
    <row r="70" spans="1:21" x14ac:dyDescent="0.3">
      <c r="A70">
        <v>69</v>
      </c>
      <c r="B70" s="2" t="s">
        <v>71</v>
      </c>
      <c r="C70" t="s">
        <v>38</v>
      </c>
      <c r="D70" s="1">
        <v>45272</v>
      </c>
      <c r="E70" s="1">
        <v>48229</v>
      </c>
      <c r="F70" t="s">
        <v>51</v>
      </c>
      <c r="G70" t="s">
        <v>44</v>
      </c>
      <c r="H70" t="s">
        <v>56</v>
      </c>
      <c r="I70" t="s">
        <v>42</v>
      </c>
      <c r="J70" t="s">
        <v>26</v>
      </c>
      <c r="K70">
        <v>197802112</v>
      </c>
      <c r="L70">
        <v>11845127.76</v>
      </c>
      <c r="M70">
        <v>0.30299999999999999</v>
      </c>
      <c r="N70">
        <v>264.3</v>
      </c>
      <c r="O70" t="b">
        <v>0</v>
      </c>
      <c r="R70">
        <v>5300</v>
      </c>
      <c r="S70" t="b">
        <v>0</v>
      </c>
      <c r="U70" t="s">
        <v>42</v>
      </c>
    </row>
    <row r="71" spans="1:21" x14ac:dyDescent="0.3">
      <c r="A71">
        <v>70</v>
      </c>
      <c r="B71" s="2" t="s">
        <v>71</v>
      </c>
      <c r="C71" t="s">
        <v>38</v>
      </c>
      <c r="D71" s="1">
        <v>44673</v>
      </c>
      <c r="E71" s="1">
        <v>47941</v>
      </c>
      <c r="F71" t="s">
        <v>43</v>
      </c>
      <c r="G71" t="s">
        <v>44</v>
      </c>
      <c r="H71" t="s">
        <v>45</v>
      </c>
      <c r="I71" t="s">
        <v>42</v>
      </c>
      <c r="J71" t="s">
        <v>26</v>
      </c>
      <c r="K71">
        <v>164401494</v>
      </c>
      <c r="L71">
        <v>3291912.52</v>
      </c>
      <c r="M71">
        <v>0.20599999999999999</v>
      </c>
      <c r="N71">
        <v>170.5</v>
      </c>
      <c r="O71" t="b">
        <v>1</v>
      </c>
      <c r="P71">
        <v>5000000</v>
      </c>
      <c r="Q71">
        <v>50000</v>
      </c>
      <c r="R71">
        <v>2100</v>
      </c>
      <c r="S71" t="b">
        <v>1</v>
      </c>
      <c r="T71">
        <v>1865.3886156379931</v>
      </c>
      <c r="U71" t="s">
        <v>42</v>
      </c>
    </row>
    <row r="72" spans="1:21" x14ac:dyDescent="0.3">
      <c r="A72">
        <v>71</v>
      </c>
      <c r="B72" s="2" t="s">
        <v>71</v>
      </c>
      <c r="C72" t="s">
        <v>38</v>
      </c>
      <c r="D72" s="1">
        <v>45727</v>
      </c>
      <c r="E72" s="1">
        <v>48535</v>
      </c>
      <c r="F72" t="s">
        <v>53</v>
      </c>
      <c r="G72" t="s">
        <v>49</v>
      </c>
      <c r="H72" t="s">
        <v>64</v>
      </c>
      <c r="I72" t="s">
        <v>42</v>
      </c>
      <c r="J72" t="s">
        <v>26</v>
      </c>
      <c r="K72">
        <v>32322069</v>
      </c>
      <c r="L72">
        <v>1579230.33</v>
      </c>
      <c r="M72">
        <v>0.40100000000000002</v>
      </c>
      <c r="N72">
        <v>187.3</v>
      </c>
      <c r="O72" t="b">
        <v>1</v>
      </c>
      <c r="P72">
        <v>500000</v>
      </c>
      <c r="Q72">
        <v>50000</v>
      </c>
      <c r="R72">
        <v>5.0999999999999996</v>
      </c>
      <c r="S72" t="b">
        <v>0</v>
      </c>
      <c r="U72" t="s">
        <v>42</v>
      </c>
    </row>
    <row r="73" spans="1:21" x14ac:dyDescent="0.3">
      <c r="A73">
        <v>72</v>
      </c>
      <c r="B73" s="2" t="s">
        <v>70</v>
      </c>
      <c r="C73" t="s">
        <v>47</v>
      </c>
      <c r="D73" s="1">
        <v>45500</v>
      </c>
      <c r="E73" s="1">
        <v>49094</v>
      </c>
      <c r="F73" t="s">
        <v>55</v>
      </c>
      <c r="G73" t="s">
        <v>49</v>
      </c>
      <c r="H73" t="s">
        <v>64</v>
      </c>
      <c r="I73" t="s">
        <v>25</v>
      </c>
      <c r="J73" t="s">
        <v>37</v>
      </c>
      <c r="K73">
        <v>107509585</v>
      </c>
      <c r="L73">
        <v>-67009.539999999994</v>
      </c>
      <c r="M73">
        <v>0.14399999999999999</v>
      </c>
      <c r="N73">
        <v>36.799999999999997</v>
      </c>
      <c r="O73" t="b">
        <v>0</v>
      </c>
      <c r="R73">
        <v>5.0999999999999996</v>
      </c>
      <c r="S73" t="b">
        <v>1</v>
      </c>
      <c r="T73">
        <v>4.8941779279178466</v>
      </c>
      <c r="U73" t="s">
        <v>25</v>
      </c>
    </row>
    <row r="74" spans="1:21" x14ac:dyDescent="0.3">
      <c r="A74">
        <v>73</v>
      </c>
      <c r="B74" s="2" t="s">
        <v>71</v>
      </c>
      <c r="C74" t="s">
        <v>38</v>
      </c>
      <c r="D74" s="1">
        <v>44641</v>
      </c>
      <c r="E74" s="1">
        <v>46502</v>
      </c>
      <c r="F74" t="s">
        <v>67</v>
      </c>
      <c r="G74" t="s">
        <v>33</v>
      </c>
      <c r="H74" t="s">
        <v>62</v>
      </c>
      <c r="I74" t="s">
        <v>25</v>
      </c>
      <c r="J74" t="s">
        <v>26</v>
      </c>
      <c r="K74">
        <v>145439503</v>
      </c>
      <c r="L74">
        <v>311021.32</v>
      </c>
      <c r="M74">
        <v>0.11899999999999999</v>
      </c>
      <c r="N74">
        <v>300.89999999999998</v>
      </c>
      <c r="O74" t="b">
        <v>1</v>
      </c>
      <c r="P74">
        <v>0</v>
      </c>
      <c r="Q74">
        <v>50000</v>
      </c>
      <c r="R74">
        <v>1.27</v>
      </c>
      <c r="S74" t="b">
        <v>0</v>
      </c>
      <c r="U74" t="s">
        <v>62</v>
      </c>
    </row>
    <row r="75" spans="1:21" x14ac:dyDescent="0.3">
      <c r="A75">
        <v>74</v>
      </c>
      <c r="B75" s="2" t="s">
        <v>71</v>
      </c>
      <c r="C75" t="s">
        <v>38</v>
      </c>
      <c r="D75" s="1">
        <v>44597</v>
      </c>
      <c r="E75" s="1">
        <v>46534</v>
      </c>
      <c r="F75" t="s">
        <v>67</v>
      </c>
      <c r="G75" t="s">
        <v>33</v>
      </c>
      <c r="H75" t="s">
        <v>34</v>
      </c>
      <c r="I75" t="s">
        <v>25</v>
      </c>
      <c r="J75" t="s">
        <v>26</v>
      </c>
      <c r="K75">
        <v>14158363</v>
      </c>
      <c r="L75">
        <v>-58300.45</v>
      </c>
      <c r="M75">
        <v>0.14199999999999999</v>
      </c>
      <c r="N75">
        <v>60.6</v>
      </c>
      <c r="O75" t="b">
        <v>1</v>
      </c>
      <c r="P75">
        <v>500000</v>
      </c>
      <c r="Q75">
        <v>50000</v>
      </c>
      <c r="R75">
        <v>1.08</v>
      </c>
      <c r="S75" t="b">
        <v>0</v>
      </c>
      <c r="U75" t="s">
        <v>34</v>
      </c>
    </row>
    <row r="76" spans="1:21" x14ac:dyDescent="0.3">
      <c r="A76">
        <v>75</v>
      </c>
      <c r="B76" s="2" t="s">
        <v>71</v>
      </c>
      <c r="C76" t="s">
        <v>38</v>
      </c>
      <c r="D76" s="1">
        <v>45051</v>
      </c>
      <c r="E76" s="1">
        <v>48520</v>
      </c>
      <c r="F76" t="s">
        <v>51</v>
      </c>
      <c r="G76" t="s">
        <v>44</v>
      </c>
      <c r="H76" t="s">
        <v>56</v>
      </c>
      <c r="I76" t="s">
        <v>36</v>
      </c>
      <c r="J76" t="s">
        <v>26</v>
      </c>
      <c r="K76">
        <v>82346627</v>
      </c>
      <c r="L76">
        <v>221936.8</v>
      </c>
      <c r="M76">
        <v>0.433</v>
      </c>
      <c r="N76">
        <v>229.7</v>
      </c>
      <c r="O76" t="b">
        <v>1</v>
      </c>
      <c r="P76">
        <v>5000000</v>
      </c>
      <c r="Q76">
        <v>250000</v>
      </c>
      <c r="R76">
        <v>5300</v>
      </c>
      <c r="S76" t="b">
        <v>0</v>
      </c>
      <c r="U76" t="s">
        <v>36</v>
      </c>
    </row>
    <row r="77" spans="1:21" x14ac:dyDescent="0.3">
      <c r="A77">
        <v>76</v>
      </c>
      <c r="B77" s="2" t="s">
        <v>68</v>
      </c>
      <c r="C77" t="s">
        <v>40</v>
      </c>
      <c r="D77" s="1">
        <v>45372</v>
      </c>
      <c r="E77" s="1">
        <v>45842</v>
      </c>
      <c r="F77" t="s">
        <v>43</v>
      </c>
      <c r="G77" t="s">
        <v>44</v>
      </c>
      <c r="H77" t="s">
        <v>45</v>
      </c>
      <c r="I77" t="s">
        <v>25</v>
      </c>
      <c r="J77" t="s">
        <v>26</v>
      </c>
      <c r="K77">
        <v>19651867</v>
      </c>
      <c r="L77">
        <v>-38377.26</v>
      </c>
      <c r="M77">
        <v>0.34899999999999998</v>
      </c>
      <c r="N77">
        <v>284.7</v>
      </c>
      <c r="O77" t="b">
        <v>1</v>
      </c>
      <c r="P77">
        <v>1000000</v>
      </c>
      <c r="Q77">
        <v>250000</v>
      </c>
      <c r="R77">
        <v>2100</v>
      </c>
      <c r="S77" t="b">
        <v>1</v>
      </c>
      <c r="T77">
        <v>1760.270195741567</v>
      </c>
      <c r="U77" t="s">
        <v>25</v>
      </c>
    </row>
    <row r="78" spans="1:21" x14ac:dyDescent="0.3">
      <c r="A78">
        <v>77</v>
      </c>
      <c r="B78" s="2" t="s">
        <v>69</v>
      </c>
      <c r="C78" t="s">
        <v>59</v>
      </c>
      <c r="D78" s="1">
        <v>45011</v>
      </c>
      <c r="E78" s="1">
        <v>46386</v>
      </c>
      <c r="F78" t="s">
        <v>22</v>
      </c>
      <c r="G78" t="s">
        <v>23</v>
      </c>
      <c r="H78" t="s">
        <v>24</v>
      </c>
      <c r="I78" t="s">
        <v>25</v>
      </c>
      <c r="J78" t="s">
        <v>37</v>
      </c>
      <c r="K78">
        <v>22858504</v>
      </c>
      <c r="L78">
        <v>399596.02</v>
      </c>
      <c r="M78">
        <v>0.41899999999999998</v>
      </c>
      <c r="N78">
        <v>353</v>
      </c>
      <c r="O78" t="b">
        <v>0</v>
      </c>
      <c r="R78">
        <v>2350</v>
      </c>
      <c r="S78" t="b">
        <v>0</v>
      </c>
      <c r="U78" t="s">
        <v>25</v>
      </c>
    </row>
    <row r="79" spans="1:21" x14ac:dyDescent="0.3">
      <c r="A79">
        <v>78</v>
      </c>
      <c r="B79" s="2" t="s">
        <v>71</v>
      </c>
      <c r="C79" t="s">
        <v>38</v>
      </c>
      <c r="D79" s="1">
        <v>45529</v>
      </c>
      <c r="E79" s="1">
        <v>46508</v>
      </c>
      <c r="F79" t="s">
        <v>55</v>
      </c>
      <c r="G79" t="s">
        <v>49</v>
      </c>
      <c r="H79" t="s">
        <v>64</v>
      </c>
      <c r="I79" t="s">
        <v>25</v>
      </c>
      <c r="J79" t="s">
        <v>37</v>
      </c>
      <c r="K79">
        <v>100437867</v>
      </c>
      <c r="L79">
        <v>157718.59</v>
      </c>
      <c r="M79">
        <v>0.16200000000000001</v>
      </c>
      <c r="N79">
        <v>379.3</v>
      </c>
      <c r="O79" t="b">
        <v>1</v>
      </c>
      <c r="P79">
        <v>500000</v>
      </c>
      <c r="Q79">
        <v>250000</v>
      </c>
      <c r="R79">
        <v>5.0999999999999996</v>
      </c>
      <c r="S79" t="b">
        <v>1</v>
      </c>
      <c r="T79">
        <v>5.4378136541837563</v>
      </c>
      <c r="U79" t="s">
        <v>25</v>
      </c>
    </row>
    <row r="80" spans="1:21" x14ac:dyDescent="0.3">
      <c r="A80">
        <v>79</v>
      </c>
      <c r="B80" s="2" t="s">
        <v>68</v>
      </c>
      <c r="C80" t="s">
        <v>40</v>
      </c>
      <c r="D80" s="1">
        <v>43898</v>
      </c>
      <c r="E80" s="1">
        <v>46471</v>
      </c>
      <c r="F80" t="s">
        <v>67</v>
      </c>
      <c r="G80" t="s">
        <v>33</v>
      </c>
      <c r="H80" t="s">
        <v>62</v>
      </c>
      <c r="I80" t="s">
        <v>25</v>
      </c>
      <c r="J80" t="s">
        <v>26</v>
      </c>
      <c r="K80">
        <v>62983056</v>
      </c>
      <c r="L80">
        <v>1193675.81</v>
      </c>
      <c r="M80">
        <v>0.42199999999999999</v>
      </c>
      <c r="N80">
        <v>148.1</v>
      </c>
      <c r="O80" t="b">
        <v>0</v>
      </c>
      <c r="R80">
        <v>1.27</v>
      </c>
      <c r="S80" t="b">
        <v>0</v>
      </c>
      <c r="U80" t="s">
        <v>62</v>
      </c>
    </row>
    <row r="81" spans="1:21" x14ac:dyDescent="0.3">
      <c r="A81">
        <v>80</v>
      </c>
      <c r="B81" s="2" t="s">
        <v>68</v>
      </c>
      <c r="C81" t="s">
        <v>40</v>
      </c>
      <c r="D81" s="1">
        <v>44891</v>
      </c>
      <c r="E81" s="1">
        <v>46551</v>
      </c>
      <c r="F81" t="s">
        <v>43</v>
      </c>
      <c r="G81" t="s">
        <v>44</v>
      </c>
      <c r="H81" t="s">
        <v>52</v>
      </c>
      <c r="I81" t="s">
        <v>36</v>
      </c>
      <c r="J81" t="s">
        <v>26</v>
      </c>
      <c r="K81">
        <v>83874662</v>
      </c>
      <c r="L81">
        <v>-90898.9</v>
      </c>
      <c r="M81">
        <v>0.29199999999999998</v>
      </c>
      <c r="N81">
        <v>229.2</v>
      </c>
      <c r="O81" t="b">
        <v>1</v>
      </c>
      <c r="P81">
        <v>0</v>
      </c>
      <c r="Q81">
        <v>100000</v>
      </c>
      <c r="R81">
        <v>18500</v>
      </c>
      <c r="S81" t="b">
        <v>1</v>
      </c>
      <c r="T81">
        <v>19627.776546861802</v>
      </c>
      <c r="U81" t="s">
        <v>36</v>
      </c>
    </row>
    <row r="82" spans="1:21" x14ac:dyDescent="0.3">
      <c r="A82">
        <v>81</v>
      </c>
      <c r="B82" s="2" t="s">
        <v>68</v>
      </c>
      <c r="C82" t="s">
        <v>40</v>
      </c>
      <c r="D82" s="1">
        <v>44754</v>
      </c>
      <c r="E82" s="1">
        <v>48369</v>
      </c>
      <c r="F82" t="s">
        <v>22</v>
      </c>
      <c r="G82" t="s">
        <v>23</v>
      </c>
      <c r="H82" t="s">
        <v>46</v>
      </c>
      <c r="I82" t="s">
        <v>25</v>
      </c>
      <c r="J82" t="s">
        <v>26</v>
      </c>
      <c r="K82">
        <v>5046317</v>
      </c>
      <c r="L82">
        <v>-58192.24</v>
      </c>
      <c r="M82">
        <v>0.14899999999999999</v>
      </c>
      <c r="N82">
        <v>33.5</v>
      </c>
      <c r="O82" t="b">
        <v>1</v>
      </c>
      <c r="P82">
        <v>0</v>
      </c>
      <c r="Q82">
        <v>50000</v>
      </c>
      <c r="R82">
        <v>82</v>
      </c>
      <c r="S82" t="b">
        <v>0</v>
      </c>
      <c r="U82" t="s">
        <v>25</v>
      </c>
    </row>
    <row r="83" spans="1:21" x14ac:dyDescent="0.3">
      <c r="A83">
        <v>82</v>
      </c>
      <c r="B83" s="2" t="s">
        <v>72</v>
      </c>
      <c r="C83" t="s">
        <v>35</v>
      </c>
      <c r="D83" s="1">
        <v>44374</v>
      </c>
      <c r="E83" s="1">
        <v>45882</v>
      </c>
      <c r="F83" t="s">
        <v>22</v>
      </c>
      <c r="G83" t="s">
        <v>23</v>
      </c>
      <c r="H83" t="s">
        <v>60</v>
      </c>
      <c r="I83" t="s">
        <v>42</v>
      </c>
      <c r="J83" t="s">
        <v>37</v>
      </c>
      <c r="K83">
        <v>22881370</v>
      </c>
      <c r="L83">
        <v>4012.29</v>
      </c>
      <c r="M83">
        <v>0.20399999999999999</v>
      </c>
      <c r="N83">
        <v>300.89999999999998</v>
      </c>
      <c r="O83" t="b">
        <v>1</v>
      </c>
      <c r="P83">
        <v>0</v>
      </c>
      <c r="Q83">
        <v>100000</v>
      </c>
      <c r="R83">
        <v>78</v>
      </c>
      <c r="S83" t="b">
        <v>0</v>
      </c>
      <c r="U83" t="s">
        <v>42</v>
      </c>
    </row>
    <row r="84" spans="1:21" x14ac:dyDescent="0.3">
      <c r="A84">
        <v>83</v>
      </c>
      <c r="B84" s="2" t="s">
        <v>72</v>
      </c>
      <c r="C84" t="s">
        <v>35</v>
      </c>
      <c r="D84" s="1">
        <v>44385</v>
      </c>
      <c r="E84" s="1">
        <v>47715</v>
      </c>
      <c r="F84" t="s">
        <v>32</v>
      </c>
      <c r="G84" t="s">
        <v>33</v>
      </c>
      <c r="H84" t="s">
        <v>62</v>
      </c>
      <c r="I84" t="s">
        <v>39</v>
      </c>
      <c r="J84" t="s">
        <v>26</v>
      </c>
      <c r="K84">
        <v>13794632</v>
      </c>
      <c r="L84">
        <v>-159962.13</v>
      </c>
      <c r="M84">
        <v>0.121</v>
      </c>
      <c r="N84">
        <v>325.3</v>
      </c>
      <c r="O84" t="b">
        <v>1</v>
      </c>
      <c r="P84">
        <v>5000000</v>
      </c>
      <c r="Q84">
        <v>100000</v>
      </c>
      <c r="R84">
        <v>1.27</v>
      </c>
      <c r="S84" t="b">
        <v>0</v>
      </c>
      <c r="U84" t="s">
        <v>62</v>
      </c>
    </row>
    <row r="85" spans="1:21" x14ac:dyDescent="0.3">
      <c r="A85">
        <v>84</v>
      </c>
      <c r="B85" s="2" t="s">
        <v>72</v>
      </c>
      <c r="C85" t="s">
        <v>35</v>
      </c>
      <c r="D85" s="1">
        <v>45317</v>
      </c>
      <c r="E85" s="1">
        <v>45639</v>
      </c>
      <c r="F85" t="s">
        <v>58</v>
      </c>
      <c r="G85" t="s">
        <v>44</v>
      </c>
      <c r="H85" t="s">
        <v>56</v>
      </c>
      <c r="I85" t="s">
        <v>25</v>
      </c>
      <c r="J85" t="s">
        <v>26</v>
      </c>
      <c r="K85">
        <v>83308146</v>
      </c>
      <c r="L85">
        <v>44694.13</v>
      </c>
      <c r="M85">
        <v>0.39</v>
      </c>
      <c r="N85">
        <v>337.3</v>
      </c>
      <c r="O85" t="b">
        <v>1</v>
      </c>
      <c r="P85">
        <v>1000000</v>
      </c>
      <c r="Q85">
        <v>100000</v>
      </c>
      <c r="R85">
        <v>5300</v>
      </c>
      <c r="S85" t="b">
        <v>1</v>
      </c>
      <c r="T85">
        <v>5473.8618984163004</v>
      </c>
      <c r="U85" t="s">
        <v>25</v>
      </c>
    </row>
    <row r="86" spans="1:21" x14ac:dyDescent="0.3">
      <c r="A86">
        <v>85</v>
      </c>
      <c r="B86" s="2" t="s">
        <v>68</v>
      </c>
      <c r="C86" t="s">
        <v>40</v>
      </c>
      <c r="D86" s="1">
        <v>45483</v>
      </c>
      <c r="E86" s="1">
        <v>48423</v>
      </c>
      <c r="F86" t="s">
        <v>67</v>
      </c>
      <c r="G86" t="s">
        <v>33</v>
      </c>
      <c r="H86" t="s">
        <v>34</v>
      </c>
      <c r="I86" t="s">
        <v>25</v>
      </c>
      <c r="J86" t="s">
        <v>26</v>
      </c>
      <c r="K86">
        <v>127806694</v>
      </c>
      <c r="L86">
        <v>6255455.54</v>
      </c>
      <c r="M86">
        <v>0.16</v>
      </c>
      <c r="N86">
        <v>126.3</v>
      </c>
      <c r="O86" t="b">
        <v>1</v>
      </c>
      <c r="P86">
        <v>500000</v>
      </c>
      <c r="Q86">
        <v>100000</v>
      </c>
      <c r="R86">
        <v>1.08</v>
      </c>
      <c r="S86" t="b">
        <v>0</v>
      </c>
      <c r="U86" t="s">
        <v>34</v>
      </c>
    </row>
    <row r="87" spans="1:21" x14ac:dyDescent="0.3">
      <c r="A87">
        <v>86</v>
      </c>
      <c r="B87" s="2" t="s">
        <v>68</v>
      </c>
      <c r="C87" t="s">
        <v>40</v>
      </c>
      <c r="D87" s="1">
        <v>45326</v>
      </c>
      <c r="E87" s="1">
        <v>45541</v>
      </c>
      <c r="F87" t="s">
        <v>51</v>
      </c>
      <c r="G87" t="s">
        <v>44</v>
      </c>
      <c r="H87" t="s">
        <v>52</v>
      </c>
      <c r="I87" t="s">
        <v>39</v>
      </c>
      <c r="J87" t="s">
        <v>37</v>
      </c>
      <c r="K87">
        <v>179509681</v>
      </c>
      <c r="L87">
        <v>-167759.94</v>
      </c>
      <c r="M87">
        <v>0.39800000000000002</v>
      </c>
      <c r="N87">
        <v>174.7</v>
      </c>
      <c r="O87" t="b">
        <v>1</v>
      </c>
      <c r="P87">
        <v>0</v>
      </c>
      <c r="Q87">
        <v>50000</v>
      </c>
      <c r="R87">
        <v>18500</v>
      </c>
      <c r="S87" t="b">
        <v>0</v>
      </c>
      <c r="U87" t="s">
        <v>39</v>
      </c>
    </row>
    <row r="88" spans="1:21" x14ac:dyDescent="0.3">
      <c r="A88">
        <v>87</v>
      </c>
      <c r="B88" s="2" t="s">
        <v>69</v>
      </c>
      <c r="C88" t="s">
        <v>21</v>
      </c>
      <c r="D88" s="1">
        <v>45694</v>
      </c>
      <c r="E88" s="1">
        <v>48401</v>
      </c>
      <c r="F88" t="s">
        <v>32</v>
      </c>
      <c r="G88" t="s">
        <v>33</v>
      </c>
      <c r="H88" t="s">
        <v>34</v>
      </c>
      <c r="I88" t="s">
        <v>36</v>
      </c>
      <c r="J88" t="s">
        <v>37</v>
      </c>
      <c r="K88">
        <v>59871237</v>
      </c>
      <c r="L88">
        <v>-57452.05</v>
      </c>
      <c r="M88">
        <v>0.17299999999999999</v>
      </c>
      <c r="N88">
        <v>70.5</v>
      </c>
      <c r="O88" t="b">
        <v>0</v>
      </c>
      <c r="R88">
        <v>1.08</v>
      </c>
      <c r="S88" t="b">
        <v>0</v>
      </c>
      <c r="U88" t="s">
        <v>34</v>
      </c>
    </row>
    <row r="89" spans="1:21" x14ac:dyDescent="0.3">
      <c r="A89">
        <v>88</v>
      </c>
      <c r="B89" s="2" t="s">
        <v>71</v>
      </c>
      <c r="C89" t="s">
        <v>38</v>
      </c>
      <c r="D89" s="1">
        <v>45015</v>
      </c>
      <c r="E89" s="1">
        <v>48041</v>
      </c>
      <c r="F89" t="s">
        <v>53</v>
      </c>
      <c r="G89" t="s">
        <v>49</v>
      </c>
      <c r="H89" t="s">
        <v>64</v>
      </c>
      <c r="I89" t="s">
        <v>42</v>
      </c>
      <c r="J89" t="s">
        <v>37</v>
      </c>
      <c r="K89">
        <v>72822795</v>
      </c>
      <c r="L89">
        <v>1689272.48</v>
      </c>
      <c r="M89">
        <v>0.33100000000000002</v>
      </c>
      <c r="N89">
        <v>128.80000000000001</v>
      </c>
      <c r="O89" t="b">
        <v>0</v>
      </c>
      <c r="R89">
        <v>5.0999999999999996</v>
      </c>
      <c r="S89" t="b">
        <v>0</v>
      </c>
      <c r="U89" t="s">
        <v>42</v>
      </c>
    </row>
    <row r="90" spans="1:21" x14ac:dyDescent="0.3">
      <c r="A90">
        <v>89</v>
      </c>
      <c r="B90" s="2" t="s">
        <v>69</v>
      </c>
      <c r="C90" t="s">
        <v>59</v>
      </c>
      <c r="D90" s="1">
        <v>45247</v>
      </c>
      <c r="E90" s="1">
        <v>48316</v>
      </c>
      <c r="F90" t="s">
        <v>65</v>
      </c>
      <c r="G90" t="s">
        <v>29</v>
      </c>
      <c r="H90" t="s">
        <v>66</v>
      </c>
      <c r="I90" t="s">
        <v>36</v>
      </c>
      <c r="J90" t="s">
        <v>37</v>
      </c>
      <c r="K90">
        <v>141006935</v>
      </c>
      <c r="L90">
        <v>7715672.8700000001</v>
      </c>
      <c r="M90">
        <v>0.33200000000000002</v>
      </c>
      <c r="N90">
        <v>355.9</v>
      </c>
      <c r="O90" t="b">
        <v>0</v>
      </c>
      <c r="R90">
        <v>55</v>
      </c>
      <c r="S90" t="b">
        <v>0</v>
      </c>
      <c r="U90" t="s">
        <v>36</v>
      </c>
    </row>
    <row r="91" spans="1:21" x14ac:dyDescent="0.3">
      <c r="A91">
        <v>90</v>
      </c>
      <c r="B91" s="2" t="s">
        <v>69</v>
      </c>
      <c r="C91" t="s">
        <v>21</v>
      </c>
      <c r="D91" s="1">
        <v>45648</v>
      </c>
      <c r="E91" s="1">
        <v>45743</v>
      </c>
      <c r="F91" t="s">
        <v>32</v>
      </c>
      <c r="G91" t="s">
        <v>33</v>
      </c>
      <c r="H91" t="s">
        <v>63</v>
      </c>
      <c r="I91" t="s">
        <v>39</v>
      </c>
      <c r="J91" t="s">
        <v>37</v>
      </c>
      <c r="K91">
        <v>113455438</v>
      </c>
      <c r="L91">
        <v>132479.4</v>
      </c>
      <c r="M91">
        <v>0.36</v>
      </c>
      <c r="N91">
        <v>101.5</v>
      </c>
      <c r="O91" t="b">
        <v>1</v>
      </c>
      <c r="P91">
        <v>1000000</v>
      </c>
      <c r="Q91">
        <v>50000</v>
      </c>
      <c r="R91">
        <v>148</v>
      </c>
      <c r="S91" t="b">
        <v>0</v>
      </c>
      <c r="U91" t="s">
        <v>63</v>
      </c>
    </row>
    <row r="92" spans="1:21" x14ac:dyDescent="0.3">
      <c r="A92">
        <v>91</v>
      </c>
      <c r="B92" s="2" t="s">
        <v>68</v>
      </c>
      <c r="C92" t="s">
        <v>40</v>
      </c>
      <c r="D92" s="1">
        <v>44910</v>
      </c>
      <c r="E92" s="1">
        <v>47776</v>
      </c>
      <c r="F92" t="s">
        <v>55</v>
      </c>
      <c r="G92" t="s">
        <v>49</v>
      </c>
      <c r="H92" t="s">
        <v>50</v>
      </c>
      <c r="I92" t="s">
        <v>42</v>
      </c>
      <c r="J92" t="s">
        <v>37</v>
      </c>
      <c r="K92">
        <v>25861224</v>
      </c>
      <c r="L92">
        <v>516627.06</v>
      </c>
      <c r="M92">
        <v>0.36199999999999999</v>
      </c>
      <c r="N92">
        <v>264.10000000000002</v>
      </c>
      <c r="O92" t="b">
        <v>0</v>
      </c>
      <c r="R92">
        <v>3.8</v>
      </c>
      <c r="S92" t="b">
        <v>1</v>
      </c>
      <c r="T92">
        <v>4.1644710354900578</v>
      </c>
      <c r="U92" t="s">
        <v>42</v>
      </c>
    </row>
    <row r="93" spans="1:21" x14ac:dyDescent="0.3">
      <c r="A93">
        <v>92</v>
      </c>
      <c r="B93" s="2" t="s">
        <v>71</v>
      </c>
      <c r="C93" t="s">
        <v>38</v>
      </c>
      <c r="D93" s="1">
        <v>45372</v>
      </c>
      <c r="E93" s="1">
        <v>47984</v>
      </c>
      <c r="F93" t="s">
        <v>54</v>
      </c>
      <c r="G93" t="s">
        <v>29</v>
      </c>
      <c r="H93" t="s">
        <v>66</v>
      </c>
      <c r="I93" t="s">
        <v>42</v>
      </c>
      <c r="J93" t="s">
        <v>26</v>
      </c>
      <c r="K93">
        <v>97346908</v>
      </c>
      <c r="L93">
        <v>-51530.65</v>
      </c>
      <c r="M93">
        <v>0.10100000000000001</v>
      </c>
      <c r="N93">
        <v>345.4</v>
      </c>
      <c r="O93" t="b">
        <v>0</v>
      </c>
      <c r="R93">
        <v>55</v>
      </c>
      <c r="S93" t="b">
        <v>0</v>
      </c>
      <c r="U93" t="s">
        <v>42</v>
      </c>
    </row>
    <row r="94" spans="1:21" x14ac:dyDescent="0.3">
      <c r="A94">
        <v>93</v>
      </c>
      <c r="B94" s="2" t="s">
        <v>71</v>
      </c>
      <c r="C94" t="s">
        <v>38</v>
      </c>
      <c r="D94" s="1">
        <v>44598</v>
      </c>
      <c r="E94" s="1">
        <v>44922</v>
      </c>
      <c r="F94" t="s">
        <v>28</v>
      </c>
      <c r="G94" t="s">
        <v>29</v>
      </c>
      <c r="H94" t="s">
        <v>66</v>
      </c>
      <c r="I94" t="s">
        <v>42</v>
      </c>
      <c r="J94" t="s">
        <v>26</v>
      </c>
      <c r="K94">
        <v>165195024</v>
      </c>
      <c r="L94">
        <v>102218.6</v>
      </c>
      <c r="M94">
        <v>0.218</v>
      </c>
      <c r="N94">
        <v>88.8</v>
      </c>
      <c r="O94" t="b">
        <v>1</v>
      </c>
      <c r="P94">
        <v>5000000</v>
      </c>
      <c r="Q94">
        <v>50000</v>
      </c>
      <c r="R94">
        <v>55</v>
      </c>
      <c r="S94" t="b">
        <v>0</v>
      </c>
      <c r="U94" t="s">
        <v>42</v>
      </c>
    </row>
    <row r="95" spans="1:21" x14ac:dyDescent="0.3">
      <c r="A95">
        <v>94</v>
      </c>
      <c r="B95" s="2" t="s">
        <v>69</v>
      </c>
      <c r="C95" t="s">
        <v>21</v>
      </c>
      <c r="D95" s="1">
        <v>45218</v>
      </c>
      <c r="E95" s="1">
        <v>46094</v>
      </c>
      <c r="F95" t="s">
        <v>55</v>
      </c>
      <c r="G95" t="s">
        <v>49</v>
      </c>
      <c r="H95" t="s">
        <v>64</v>
      </c>
      <c r="I95" t="s">
        <v>36</v>
      </c>
      <c r="J95" t="s">
        <v>26</v>
      </c>
      <c r="K95">
        <v>21064303</v>
      </c>
      <c r="L95">
        <v>25568.22</v>
      </c>
      <c r="M95">
        <v>0.33200000000000002</v>
      </c>
      <c r="N95">
        <v>131.1</v>
      </c>
      <c r="O95" t="b">
        <v>0</v>
      </c>
      <c r="R95">
        <v>5.0999999999999996</v>
      </c>
      <c r="S95" t="b">
        <v>1</v>
      </c>
      <c r="T95">
        <v>4.8393979937586771</v>
      </c>
      <c r="U95" t="s">
        <v>36</v>
      </c>
    </row>
    <row r="96" spans="1:21" x14ac:dyDescent="0.3">
      <c r="A96">
        <v>95</v>
      </c>
      <c r="B96" s="2" t="s">
        <v>73</v>
      </c>
      <c r="C96" t="s">
        <v>31</v>
      </c>
      <c r="D96" s="1">
        <v>45545</v>
      </c>
      <c r="E96" s="1">
        <v>49068</v>
      </c>
      <c r="F96" t="s">
        <v>65</v>
      </c>
      <c r="G96" t="s">
        <v>29</v>
      </c>
      <c r="H96" t="s">
        <v>41</v>
      </c>
      <c r="I96" t="s">
        <v>36</v>
      </c>
      <c r="J96" t="s">
        <v>37</v>
      </c>
      <c r="K96">
        <v>153218345</v>
      </c>
      <c r="L96">
        <v>5809730.2699999996</v>
      </c>
      <c r="M96">
        <v>0.24399999999999999</v>
      </c>
      <c r="N96">
        <v>306</v>
      </c>
      <c r="O96" t="b">
        <v>1</v>
      </c>
      <c r="P96">
        <v>0</v>
      </c>
      <c r="Q96">
        <v>50000</v>
      </c>
      <c r="R96">
        <v>65</v>
      </c>
      <c r="S96" t="b">
        <v>0</v>
      </c>
      <c r="U96" t="s">
        <v>36</v>
      </c>
    </row>
    <row r="97" spans="1:21" x14ac:dyDescent="0.3">
      <c r="A97">
        <v>96</v>
      </c>
      <c r="B97" s="2" t="s">
        <v>73</v>
      </c>
      <c r="C97" t="s">
        <v>31</v>
      </c>
      <c r="D97" s="1">
        <v>44202</v>
      </c>
      <c r="E97" s="1">
        <v>47384</v>
      </c>
      <c r="F97" t="s">
        <v>61</v>
      </c>
      <c r="G97" t="s">
        <v>33</v>
      </c>
      <c r="H97" t="s">
        <v>63</v>
      </c>
      <c r="I97" t="s">
        <v>42</v>
      </c>
      <c r="J97" t="s">
        <v>37</v>
      </c>
      <c r="K97">
        <v>156436386</v>
      </c>
      <c r="L97">
        <v>5920403.5899999999</v>
      </c>
      <c r="M97">
        <v>0.36499999999999999</v>
      </c>
      <c r="N97">
        <v>311.60000000000002</v>
      </c>
      <c r="O97" t="b">
        <v>1</v>
      </c>
      <c r="P97">
        <v>5000000</v>
      </c>
      <c r="Q97">
        <v>50000</v>
      </c>
      <c r="R97">
        <v>148</v>
      </c>
      <c r="S97" t="b">
        <v>1</v>
      </c>
      <c r="T97">
        <v>148.91570640924689</v>
      </c>
      <c r="U97" t="s">
        <v>63</v>
      </c>
    </row>
    <row r="98" spans="1:21" x14ac:dyDescent="0.3">
      <c r="A98">
        <v>97</v>
      </c>
      <c r="B98" s="2" t="s">
        <v>73</v>
      </c>
      <c r="C98" t="s">
        <v>31</v>
      </c>
      <c r="D98" s="1">
        <v>43833</v>
      </c>
      <c r="E98" s="1">
        <v>46053</v>
      </c>
      <c r="F98" t="s">
        <v>61</v>
      </c>
      <c r="G98" t="s">
        <v>33</v>
      </c>
      <c r="H98" t="s">
        <v>62</v>
      </c>
      <c r="I98" t="s">
        <v>36</v>
      </c>
      <c r="J98" t="s">
        <v>26</v>
      </c>
      <c r="K98">
        <v>123424757</v>
      </c>
      <c r="L98">
        <v>157813.72</v>
      </c>
      <c r="M98">
        <v>0.17199999999999999</v>
      </c>
      <c r="N98">
        <v>271.10000000000002</v>
      </c>
      <c r="O98" t="b">
        <v>1</v>
      </c>
      <c r="P98">
        <v>500000</v>
      </c>
      <c r="Q98">
        <v>250000</v>
      </c>
      <c r="R98">
        <v>1.27</v>
      </c>
      <c r="S98" t="b">
        <v>1</v>
      </c>
      <c r="T98">
        <v>1.235064466561979</v>
      </c>
      <c r="U98" t="s">
        <v>62</v>
      </c>
    </row>
    <row r="99" spans="1:21" x14ac:dyDescent="0.3">
      <c r="A99">
        <v>98</v>
      </c>
      <c r="B99" s="2" t="s">
        <v>71</v>
      </c>
      <c r="C99" t="s">
        <v>38</v>
      </c>
      <c r="D99" s="1">
        <v>44622</v>
      </c>
      <c r="E99" s="1">
        <v>48181</v>
      </c>
      <c r="F99" t="s">
        <v>48</v>
      </c>
      <c r="G99" t="s">
        <v>49</v>
      </c>
      <c r="H99" t="s">
        <v>50</v>
      </c>
      <c r="I99" t="s">
        <v>25</v>
      </c>
      <c r="J99" t="s">
        <v>37</v>
      </c>
      <c r="K99">
        <v>145768087</v>
      </c>
      <c r="L99">
        <v>-1717803.87</v>
      </c>
      <c r="M99">
        <v>0.32300000000000001</v>
      </c>
      <c r="N99">
        <v>382.5</v>
      </c>
      <c r="O99" t="b">
        <v>0</v>
      </c>
      <c r="R99">
        <v>3.8</v>
      </c>
      <c r="S99" t="b">
        <v>0</v>
      </c>
      <c r="U99" t="s">
        <v>25</v>
      </c>
    </row>
    <row r="100" spans="1:21" x14ac:dyDescent="0.3">
      <c r="A100">
        <v>99</v>
      </c>
      <c r="B100" s="2" t="s">
        <v>69</v>
      </c>
      <c r="C100" t="s">
        <v>59</v>
      </c>
      <c r="D100" s="1">
        <v>44972</v>
      </c>
      <c r="E100" s="1">
        <v>45128</v>
      </c>
      <c r="F100" t="s">
        <v>43</v>
      </c>
      <c r="G100" t="s">
        <v>44</v>
      </c>
      <c r="H100" t="s">
        <v>56</v>
      </c>
      <c r="I100" t="s">
        <v>42</v>
      </c>
      <c r="J100" t="s">
        <v>26</v>
      </c>
      <c r="K100">
        <v>99059494</v>
      </c>
      <c r="L100">
        <v>92610.45</v>
      </c>
      <c r="M100">
        <v>0.158</v>
      </c>
      <c r="N100">
        <v>56.8</v>
      </c>
      <c r="O100" t="b">
        <v>1</v>
      </c>
      <c r="P100">
        <v>0</v>
      </c>
      <c r="Q100">
        <v>50000</v>
      </c>
      <c r="R100">
        <v>5300</v>
      </c>
      <c r="S100" t="b">
        <v>1</v>
      </c>
      <c r="T100">
        <v>5037.1196421659934</v>
      </c>
      <c r="U100" t="s">
        <v>42</v>
      </c>
    </row>
    <row r="101" spans="1:21" x14ac:dyDescent="0.3">
      <c r="A101">
        <v>100</v>
      </c>
      <c r="B101" s="2" t="s">
        <v>72</v>
      </c>
      <c r="C101" t="s">
        <v>35</v>
      </c>
      <c r="D101" s="1">
        <v>44096</v>
      </c>
      <c r="E101" s="1">
        <v>46206</v>
      </c>
      <c r="F101" t="s">
        <v>48</v>
      </c>
      <c r="G101" t="s">
        <v>49</v>
      </c>
      <c r="H101" t="s">
        <v>50</v>
      </c>
      <c r="I101" t="s">
        <v>25</v>
      </c>
      <c r="J101" t="s">
        <v>26</v>
      </c>
      <c r="K101">
        <v>139445668</v>
      </c>
      <c r="L101">
        <v>173209.60000000001</v>
      </c>
      <c r="M101">
        <v>0.376</v>
      </c>
      <c r="N101">
        <v>92</v>
      </c>
      <c r="O101" t="b">
        <v>1</v>
      </c>
      <c r="P101">
        <v>1000000</v>
      </c>
      <c r="Q101">
        <v>50000</v>
      </c>
      <c r="R101">
        <v>3.8</v>
      </c>
      <c r="S101" t="b">
        <v>0</v>
      </c>
      <c r="U101" t="s">
        <v>25</v>
      </c>
    </row>
    <row r="102" spans="1:21" x14ac:dyDescent="0.3">
      <c r="A102">
        <v>101</v>
      </c>
      <c r="B102" s="2" t="s">
        <v>69</v>
      </c>
      <c r="C102" t="s">
        <v>21</v>
      </c>
      <c r="D102" s="1">
        <v>44913</v>
      </c>
      <c r="E102" s="1">
        <v>47527</v>
      </c>
      <c r="F102" t="s">
        <v>53</v>
      </c>
      <c r="G102" t="s">
        <v>49</v>
      </c>
      <c r="H102" t="s">
        <v>64</v>
      </c>
      <c r="I102" t="s">
        <v>36</v>
      </c>
      <c r="J102" t="s">
        <v>26</v>
      </c>
      <c r="K102">
        <v>174838979</v>
      </c>
      <c r="L102">
        <v>-3272167.04</v>
      </c>
      <c r="M102">
        <v>0.34399999999999997</v>
      </c>
      <c r="N102">
        <v>59.6</v>
      </c>
      <c r="O102" t="b">
        <v>0</v>
      </c>
      <c r="R102">
        <v>5.0999999999999996</v>
      </c>
      <c r="S102" t="b">
        <v>0</v>
      </c>
      <c r="U102" t="s">
        <v>36</v>
      </c>
    </row>
    <row r="103" spans="1:21" x14ac:dyDescent="0.3">
      <c r="A103">
        <v>102</v>
      </c>
      <c r="B103" s="2" t="s">
        <v>73</v>
      </c>
      <c r="C103" t="s">
        <v>31</v>
      </c>
      <c r="D103" s="1">
        <v>43912</v>
      </c>
      <c r="E103" s="1">
        <v>44586</v>
      </c>
      <c r="F103" t="s">
        <v>32</v>
      </c>
      <c r="G103" t="s">
        <v>33</v>
      </c>
      <c r="H103" t="s">
        <v>62</v>
      </c>
      <c r="I103" t="s">
        <v>36</v>
      </c>
      <c r="J103" t="s">
        <v>26</v>
      </c>
      <c r="K103">
        <v>90528407</v>
      </c>
      <c r="L103">
        <v>171540.23</v>
      </c>
      <c r="M103">
        <v>0.34799999999999998</v>
      </c>
      <c r="N103">
        <v>270.60000000000002</v>
      </c>
      <c r="O103" t="b">
        <v>1</v>
      </c>
      <c r="P103">
        <v>1000000</v>
      </c>
      <c r="Q103">
        <v>100000</v>
      </c>
      <c r="R103">
        <v>1.27</v>
      </c>
      <c r="S103" t="b">
        <v>0</v>
      </c>
      <c r="U103" t="s">
        <v>62</v>
      </c>
    </row>
    <row r="104" spans="1:21" x14ac:dyDescent="0.3">
      <c r="A104">
        <v>103</v>
      </c>
      <c r="B104" s="2" t="s">
        <v>69</v>
      </c>
      <c r="C104" t="s">
        <v>21</v>
      </c>
      <c r="D104" s="1">
        <v>45148</v>
      </c>
      <c r="E104" s="1">
        <v>47012</v>
      </c>
      <c r="F104" t="s">
        <v>65</v>
      </c>
      <c r="G104" t="s">
        <v>29</v>
      </c>
      <c r="H104" t="s">
        <v>41</v>
      </c>
      <c r="I104" t="s">
        <v>36</v>
      </c>
      <c r="J104" t="s">
        <v>26</v>
      </c>
      <c r="K104">
        <v>113295892</v>
      </c>
      <c r="L104">
        <v>-108329.27</v>
      </c>
      <c r="M104">
        <v>0.34599999999999997</v>
      </c>
      <c r="N104">
        <v>281.7</v>
      </c>
      <c r="O104" t="b">
        <v>1</v>
      </c>
      <c r="P104">
        <v>1000000</v>
      </c>
      <c r="Q104">
        <v>250000</v>
      </c>
      <c r="R104">
        <v>65</v>
      </c>
      <c r="S104" t="b">
        <v>0</v>
      </c>
      <c r="U104" t="s">
        <v>36</v>
      </c>
    </row>
    <row r="105" spans="1:21" x14ac:dyDescent="0.3">
      <c r="A105">
        <v>104</v>
      </c>
      <c r="B105" s="2" t="s">
        <v>68</v>
      </c>
      <c r="C105" t="s">
        <v>40</v>
      </c>
      <c r="D105" s="1">
        <v>44662</v>
      </c>
      <c r="E105" s="1">
        <v>47764</v>
      </c>
      <c r="F105" t="s">
        <v>65</v>
      </c>
      <c r="G105" t="s">
        <v>29</v>
      </c>
      <c r="H105" t="s">
        <v>30</v>
      </c>
      <c r="I105" t="s">
        <v>39</v>
      </c>
      <c r="J105" t="s">
        <v>26</v>
      </c>
      <c r="K105">
        <v>127609139</v>
      </c>
      <c r="L105">
        <v>550852.22</v>
      </c>
      <c r="M105">
        <v>0.35199999999999998</v>
      </c>
      <c r="N105">
        <v>216.8</v>
      </c>
      <c r="O105" t="b">
        <v>1</v>
      </c>
      <c r="P105">
        <v>1000000</v>
      </c>
      <c r="Q105">
        <v>50000</v>
      </c>
      <c r="R105">
        <v>380</v>
      </c>
      <c r="S105" t="b">
        <v>0</v>
      </c>
      <c r="U105" t="s">
        <v>39</v>
      </c>
    </row>
    <row r="106" spans="1:21" x14ac:dyDescent="0.3">
      <c r="A106">
        <v>105</v>
      </c>
      <c r="B106" s="2" t="s">
        <v>73</v>
      </c>
      <c r="C106" t="s">
        <v>31</v>
      </c>
      <c r="D106" s="1">
        <v>45577</v>
      </c>
      <c r="E106" s="1">
        <v>48873</v>
      </c>
      <c r="F106" t="s">
        <v>67</v>
      </c>
      <c r="G106" t="s">
        <v>33</v>
      </c>
      <c r="H106" t="s">
        <v>62</v>
      </c>
      <c r="I106" t="s">
        <v>42</v>
      </c>
      <c r="J106" t="s">
        <v>37</v>
      </c>
      <c r="K106">
        <v>87235580</v>
      </c>
      <c r="L106">
        <v>1706767.74</v>
      </c>
      <c r="M106">
        <v>0.182</v>
      </c>
      <c r="N106">
        <v>260.5</v>
      </c>
      <c r="O106" t="b">
        <v>1</v>
      </c>
      <c r="P106">
        <v>1000000</v>
      </c>
      <c r="Q106">
        <v>50000</v>
      </c>
      <c r="R106">
        <v>1.27</v>
      </c>
      <c r="S106" t="b">
        <v>0</v>
      </c>
      <c r="U106" t="s">
        <v>62</v>
      </c>
    </row>
    <row r="107" spans="1:21" x14ac:dyDescent="0.3">
      <c r="A107">
        <v>106</v>
      </c>
      <c r="B107" s="2" t="s">
        <v>69</v>
      </c>
      <c r="C107" t="s">
        <v>59</v>
      </c>
      <c r="D107" s="1">
        <v>44576</v>
      </c>
      <c r="E107" s="1">
        <v>46491</v>
      </c>
      <c r="F107" t="s">
        <v>54</v>
      </c>
      <c r="G107" t="s">
        <v>29</v>
      </c>
      <c r="H107" t="s">
        <v>66</v>
      </c>
      <c r="I107" t="s">
        <v>25</v>
      </c>
      <c r="J107" t="s">
        <v>37</v>
      </c>
      <c r="K107">
        <v>85541079</v>
      </c>
      <c r="L107">
        <v>67399.98</v>
      </c>
      <c r="M107">
        <v>0.106</v>
      </c>
      <c r="N107">
        <v>66</v>
      </c>
      <c r="O107" t="b">
        <v>1</v>
      </c>
      <c r="P107">
        <v>500000</v>
      </c>
      <c r="Q107">
        <v>250000</v>
      </c>
      <c r="R107">
        <v>55</v>
      </c>
      <c r="S107" t="b">
        <v>0</v>
      </c>
      <c r="U107" t="s">
        <v>25</v>
      </c>
    </row>
    <row r="108" spans="1:21" x14ac:dyDescent="0.3">
      <c r="A108">
        <v>107</v>
      </c>
      <c r="B108" s="2" t="s">
        <v>68</v>
      </c>
      <c r="C108" t="s">
        <v>40</v>
      </c>
      <c r="D108" s="1">
        <v>44613</v>
      </c>
      <c r="E108" s="1">
        <v>48154</v>
      </c>
      <c r="F108" t="s">
        <v>54</v>
      </c>
      <c r="G108" t="s">
        <v>29</v>
      </c>
      <c r="H108" t="s">
        <v>66</v>
      </c>
      <c r="I108" t="s">
        <v>25</v>
      </c>
      <c r="J108" t="s">
        <v>26</v>
      </c>
      <c r="K108">
        <v>55336019</v>
      </c>
      <c r="L108">
        <v>-2266914.5299999998</v>
      </c>
      <c r="M108">
        <v>0.32300000000000001</v>
      </c>
      <c r="N108">
        <v>388.8</v>
      </c>
      <c r="O108" t="b">
        <v>1</v>
      </c>
      <c r="P108">
        <v>1000000</v>
      </c>
      <c r="Q108">
        <v>100000</v>
      </c>
      <c r="R108">
        <v>55</v>
      </c>
      <c r="S108" t="b">
        <v>0</v>
      </c>
      <c r="U108" t="s">
        <v>25</v>
      </c>
    </row>
    <row r="109" spans="1:21" x14ac:dyDescent="0.3">
      <c r="A109">
        <v>108</v>
      </c>
      <c r="B109" s="2" t="s">
        <v>69</v>
      </c>
      <c r="C109" t="s">
        <v>59</v>
      </c>
      <c r="D109" s="1">
        <v>44122</v>
      </c>
      <c r="E109" s="1">
        <v>45812</v>
      </c>
      <c r="F109" t="s">
        <v>67</v>
      </c>
      <c r="G109" t="s">
        <v>33</v>
      </c>
      <c r="H109" t="s">
        <v>62</v>
      </c>
      <c r="I109" t="s">
        <v>42</v>
      </c>
      <c r="J109" t="s">
        <v>37</v>
      </c>
      <c r="K109">
        <v>119637452</v>
      </c>
      <c r="L109">
        <v>-182555.98</v>
      </c>
      <c r="M109">
        <v>0.43099999999999999</v>
      </c>
      <c r="N109">
        <v>162.9</v>
      </c>
      <c r="O109" t="b">
        <v>1</v>
      </c>
      <c r="P109">
        <v>1000000</v>
      </c>
      <c r="Q109">
        <v>50000</v>
      </c>
      <c r="R109">
        <v>1.27</v>
      </c>
      <c r="S109" t="b">
        <v>0</v>
      </c>
      <c r="U109" t="s">
        <v>62</v>
      </c>
    </row>
    <row r="110" spans="1:21" x14ac:dyDescent="0.3">
      <c r="A110">
        <v>109</v>
      </c>
      <c r="B110" s="2" t="s">
        <v>71</v>
      </c>
      <c r="C110" t="s">
        <v>38</v>
      </c>
      <c r="D110" s="1">
        <v>45442</v>
      </c>
      <c r="E110" s="1">
        <v>47616</v>
      </c>
      <c r="F110" t="s">
        <v>65</v>
      </c>
      <c r="G110" t="s">
        <v>29</v>
      </c>
      <c r="H110" t="s">
        <v>41</v>
      </c>
      <c r="I110" t="s">
        <v>39</v>
      </c>
      <c r="J110" t="s">
        <v>37</v>
      </c>
      <c r="K110">
        <v>174312899</v>
      </c>
      <c r="L110">
        <v>-862931.45</v>
      </c>
      <c r="M110">
        <v>0.156</v>
      </c>
      <c r="N110">
        <v>226.5</v>
      </c>
      <c r="O110" t="b">
        <v>0</v>
      </c>
      <c r="R110">
        <v>65</v>
      </c>
      <c r="S110" t="b">
        <v>0</v>
      </c>
      <c r="U110" t="s">
        <v>39</v>
      </c>
    </row>
    <row r="111" spans="1:21" x14ac:dyDescent="0.3">
      <c r="A111">
        <v>110</v>
      </c>
      <c r="B111" s="2" t="s">
        <v>71</v>
      </c>
      <c r="C111" t="s">
        <v>38</v>
      </c>
      <c r="D111" s="1">
        <v>45698</v>
      </c>
      <c r="E111" s="1">
        <v>46914</v>
      </c>
      <c r="F111" t="s">
        <v>55</v>
      </c>
      <c r="G111" t="s">
        <v>49</v>
      </c>
      <c r="H111" t="s">
        <v>64</v>
      </c>
      <c r="I111" t="s">
        <v>25</v>
      </c>
      <c r="J111" t="s">
        <v>26</v>
      </c>
      <c r="K111">
        <v>103910787</v>
      </c>
      <c r="L111">
        <v>369528.94</v>
      </c>
      <c r="M111">
        <v>9.5000000000000001E-2</v>
      </c>
      <c r="N111">
        <v>395.1</v>
      </c>
      <c r="O111" t="b">
        <v>0</v>
      </c>
      <c r="R111">
        <v>5.0999999999999996</v>
      </c>
      <c r="S111" t="b">
        <v>1</v>
      </c>
      <c r="T111">
        <v>5.1133067350508892</v>
      </c>
      <c r="U111" t="s">
        <v>25</v>
      </c>
    </row>
    <row r="112" spans="1:21" x14ac:dyDescent="0.3">
      <c r="A112">
        <v>111</v>
      </c>
      <c r="B112" s="2" t="s">
        <v>69</v>
      </c>
      <c r="C112" t="s">
        <v>59</v>
      </c>
      <c r="D112" s="1">
        <v>44991</v>
      </c>
      <c r="E112" s="1">
        <v>45986</v>
      </c>
      <c r="F112" t="s">
        <v>67</v>
      </c>
      <c r="G112" t="s">
        <v>33</v>
      </c>
      <c r="H112" t="s">
        <v>62</v>
      </c>
      <c r="I112" t="s">
        <v>39</v>
      </c>
      <c r="J112" t="s">
        <v>26</v>
      </c>
      <c r="K112">
        <v>106737359</v>
      </c>
      <c r="L112">
        <v>117716.2</v>
      </c>
      <c r="M112">
        <v>0.20699999999999999</v>
      </c>
      <c r="N112">
        <v>83.1</v>
      </c>
      <c r="O112" t="b">
        <v>0</v>
      </c>
      <c r="R112">
        <v>1.27</v>
      </c>
      <c r="S112" t="b">
        <v>0</v>
      </c>
      <c r="U112" t="s">
        <v>62</v>
      </c>
    </row>
    <row r="113" spans="1:21" x14ac:dyDescent="0.3">
      <c r="A113">
        <v>112</v>
      </c>
      <c r="B113" s="2" t="s">
        <v>73</v>
      </c>
      <c r="C113" t="s">
        <v>31</v>
      </c>
      <c r="D113" s="1">
        <v>44143</v>
      </c>
      <c r="E113" s="1">
        <v>45068</v>
      </c>
      <c r="F113" t="s">
        <v>67</v>
      </c>
      <c r="G113" t="s">
        <v>33</v>
      </c>
      <c r="H113" t="s">
        <v>34</v>
      </c>
      <c r="I113" t="s">
        <v>36</v>
      </c>
      <c r="J113" t="s">
        <v>37</v>
      </c>
      <c r="K113">
        <v>192852632</v>
      </c>
      <c r="L113">
        <v>-15403.34</v>
      </c>
      <c r="M113">
        <v>0.17399999999999999</v>
      </c>
      <c r="N113">
        <v>392.1</v>
      </c>
      <c r="O113" t="b">
        <v>1</v>
      </c>
      <c r="P113">
        <v>500000</v>
      </c>
      <c r="Q113">
        <v>100000</v>
      </c>
      <c r="R113">
        <v>1.08</v>
      </c>
      <c r="S113" t="b">
        <v>0</v>
      </c>
      <c r="U113" t="s">
        <v>34</v>
      </c>
    </row>
    <row r="114" spans="1:21" x14ac:dyDescent="0.3">
      <c r="A114">
        <v>113</v>
      </c>
      <c r="B114" s="2" t="s">
        <v>70</v>
      </c>
      <c r="C114" t="s">
        <v>47</v>
      </c>
      <c r="D114" s="1">
        <v>45692</v>
      </c>
      <c r="E114" s="1">
        <v>48237</v>
      </c>
      <c r="F114" t="s">
        <v>61</v>
      </c>
      <c r="G114" t="s">
        <v>33</v>
      </c>
      <c r="H114" t="s">
        <v>34</v>
      </c>
      <c r="I114" t="s">
        <v>42</v>
      </c>
      <c r="J114" t="s">
        <v>26</v>
      </c>
      <c r="K114">
        <v>136920110</v>
      </c>
      <c r="L114">
        <v>-2791670.58</v>
      </c>
      <c r="M114">
        <v>0.16</v>
      </c>
      <c r="N114">
        <v>69.400000000000006</v>
      </c>
      <c r="O114" t="b">
        <v>1</v>
      </c>
      <c r="P114">
        <v>500000</v>
      </c>
      <c r="Q114">
        <v>100000</v>
      </c>
      <c r="R114">
        <v>1.08</v>
      </c>
      <c r="S114" t="b">
        <v>1</v>
      </c>
      <c r="T114">
        <v>1.153108279951347</v>
      </c>
      <c r="U114" t="s">
        <v>34</v>
      </c>
    </row>
    <row r="115" spans="1:21" x14ac:dyDescent="0.3">
      <c r="A115">
        <v>114</v>
      </c>
      <c r="B115" s="2" t="s">
        <v>68</v>
      </c>
      <c r="C115" t="s">
        <v>40</v>
      </c>
      <c r="D115" s="1">
        <v>45395</v>
      </c>
      <c r="E115" s="1">
        <v>47504</v>
      </c>
      <c r="F115" t="s">
        <v>48</v>
      </c>
      <c r="G115" t="s">
        <v>49</v>
      </c>
      <c r="H115" t="s">
        <v>64</v>
      </c>
      <c r="I115" t="s">
        <v>42</v>
      </c>
      <c r="J115" t="s">
        <v>26</v>
      </c>
      <c r="K115">
        <v>148997595</v>
      </c>
      <c r="L115">
        <v>-9158384.2699999996</v>
      </c>
      <c r="M115">
        <v>0.40500000000000003</v>
      </c>
      <c r="N115">
        <v>151</v>
      </c>
      <c r="O115" t="b">
        <v>1</v>
      </c>
      <c r="P115">
        <v>500000</v>
      </c>
      <c r="Q115">
        <v>100000</v>
      </c>
      <c r="R115">
        <v>5.0999999999999996</v>
      </c>
      <c r="S115" t="b">
        <v>0</v>
      </c>
      <c r="U115" t="s">
        <v>42</v>
      </c>
    </row>
    <row r="116" spans="1:21" x14ac:dyDescent="0.3">
      <c r="A116">
        <v>115</v>
      </c>
      <c r="B116" s="2" t="s">
        <v>70</v>
      </c>
      <c r="C116" t="s">
        <v>47</v>
      </c>
      <c r="D116" s="1">
        <v>44582</v>
      </c>
      <c r="E116" s="1">
        <v>45729</v>
      </c>
      <c r="F116" t="s">
        <v>55</v>
      </c>
      <c r="G116" t="s">
        <v>49</v>
      </c>
      <c r="H116" t="s">
        <v>64</v>
      </c>
      <c r="I116" t="s">
        <v>39</v>
      </c>
      <c r="J116" t="s">
        <v>26</v>
      </c>
      <c r="K116">
        <v>131569558</v>
      </c>
      <c r="L116">
        <v>177815.78</v>
      </c>
      <c r="M116">
        <v>0.20200000000000001</v>
      </c>
      <c r="N116">
        <v>170.8</v>
      </c>
      <c r="O116" t="b">
        <v>1</v>
      </c>
      <c r="P116">
        <v>0</v>
      </c>
      <c r="Q116">
        <v>50000</v>
      </c>
      <c r="R116">
        <v>5.0999999999999996</v>
      </c>
      <c r="S116" t="b">
        <v>1</v>
      </c>
      <c r="T116">
        <v>5.2430227592949556</v>
      </c>
      <c r="U116" t="s">
        <v>39</v>
      </c>
    </row>
    <row r="117" spans="1:21" x14ac:dyDescent="0.3">
      <c r="A117">
        <v>116</v>
      </c>
      <c r="B117" s="2" t="s">
        <v>68</v>
      </c>
      <c r="C117" t="s">
        <v>40</v>
      </c>
      <c r="D117" s="1">
        <v>44167</v>
      </c>
      <c r="E117" s="1">
        <v>46545</v>
      </c>
      <c r="F117" t="s">
        <v>58</v>
      </c>
      <c r="G117" t="s">
        <v>44</v>
      </c>
      <c r="H117" t="s">
        <v>52</v>
      </c>
      <c r="I117" t="s">
        <v>36</v>
      </c>
      <c r="J117" t="s">
        <v>26</v>
      </c>
      <c r="K117">
        <v>153072143</v>
      </c>
      <c r="L117">
        <v>2941176.44</v>
      </c>
      <c r="M117">
        <v>0.26500000000000001</v>
      </c>
      <c r="N117">
        <v>382</v>
      </c>
      <c r="O117" t="b">
        <v>0</v>
      </c>
      <c r="R117">
        <v>18500</v>
      </c>
      <c r="S117" t="b">
        <v>1</v>
      </c>
      <c r="T117">
        <v>16557.820551368601</v>
      </c>
      <c r="U117" t="s">
        <v>36</v>
      </c>
    </row>
    <row r="118" spans="1:21" x14ac:dyDescent="0.3">
      <c r="A118">
        <v>117</v>
      </c>
      <c r="B118" s="2" t="s">
        <v>73</v>
      </c>
      <c r="C118" t="s">
        <v>31</v>
      </c>
      <c r="D118" s="1">
        <v>44128</v>
      </c>
      <c r="E118" s="1">
        <v>46093</v>
      </c>
      <c r="F118" t="s">
        <v>57</v>
      </c>
      <c r="G118" t="s">
        <v>23</v>
      </c>
      <c r="H118" t="s">
        <v>46</v>
      </c>
      <c r="I118" t="s">
        <v>39</v>
      </c>
      <c r="J118" t="s">
        <v>37</v>
      </c>
      <c r="K118">
        <v>52983583</v>
      </c>
      <c r="L118">
        <v>-69340.91</v>
      </c>
      <c r="M118">
        <v>0.25600000000000001</v>
      </c>
      <c r="N118">
        <v>294.7</v>
      </c>
      <c r="O118" t="b">
        <v>1</v>
      </c>
      <c r="P118">
        <v>0</v>
      </c>
      <c r="Q118">
        <v>250000</v>
      </c>
      <c r="R118">
        <v>82</v>
      </c>
      <c r="S118" t="b">
        <v>0</v>
      </c>
      <c r="U118" t="s">
        <v>39</v>
      </c>
    </row>
    <row r="119" spans="1:21" x14ac:dyDescent="0.3">
      <c r="A119">
        <v>118</v>
      </c>
      <c r="B119" s="2" t="s">
        <v>69</v>
      </c>
      <c r="C119" t="s">
        <v>21</v>
      </c>
      <c r="D119" s="1">
        <v>45685</v>
      </c>
      <c r="E119" s="1">
        <v>45990</v>
      </c>
      <c r="F119" t="s">
        <v>22</v>
      </c>
      <c r="G119" t="s">
        <v>23</v>
      </c>
      <c r="H119" t="s">
        <v>24</v>
      </c>
      <c r="I119" t="s">
        <v>39</v>
      </c>
      <c r="J119" t="s">
        <v>37</v>
      </c>
      <c r="K119">
        <v>187215025</v>
      </c>
      <c r="L119">
        <v>-429657.73</v>
      </c>
      <c r="M119">
        <v>0.21</v>
      </c>
      <c r="N119">
        <v>209.8</v>
      </c>
      <c r="O119" t="b">
        <v>1</v>
      </c>
      <c r="P119">
        <v>5000000</v>
      </c>
      <c r="Q119">
        <v>100000</v>
      </c>
      <c r="R119">
        <v>2350</v>
      </c>
      <c r="S119" t="b">
        <v>0</v>
      </c>
      <c r="U119" t="s">
        <v>39</v>
      </c>
    </row>
    <row r="120" spans="1:21" x14ac:dyDescent="0.3">
      <c r="A120">
        <v>119</v>
      </c>
      <c r="B120" s="2" t="s">
        <v>69</v>
      </c>
      <c r="C120" t="s">
        <v>21</v>
      </c>
      <c r="D120" s="1">
        <v>45263</v>
      </c>
      <c r="E120" s="1">
        <v>46324</v>
      </c>
      <c r="F120" t="s">
        <v>28</v>
      </c>
      <c r="G120" t="s">
        <v>29</v>
      </c>
      <c r="H120" t="s">
        <v>30</v>
      </c>
      <c r="I120" t="s">
        <v>42</v>
      </c>
      <c r="J120" t="s">
        <v>37</v>
      </c>
      <c r="K120">
        <v>85642074</v>
      </c>
      <c r="L120">
        <v>141242.12</v>
      </c>
      <c r="M120">
        <v>0.125</v>
      </c>
      <c r="N120">
        <v>224.3</v>
      </c>
      <c r="O120" t="b">
        <v>0</v>
      </c>
      <c r="R120">
        <v>380</v>
      </c>
      <c r="S120" t="b">
        <v>0</v>
      </c>
      <c r="U120" t="s">
        <v>42</v>
      </c>
    </row>
    <row r="121" spans="1:21" x14ac:dyDescent="0.3">
      <c r="A121">
        <v>120</v>
      </c>
      <c r="B121" s="2" t="s">
        <v>68</v>
      </c>
      <c r="C121" t="s">
        <v>40</v>
      </c>
      <c r="D121" s="1">
        <v>44680</v>
      </c>
      <c r="E121" s="1">
        <v>45080</v>
      </c>
      <c r="F121" t="s">
        <v>67</v>
      </c>
      <c r="G121" t="s">
        <v>33</v>
      </c>
      <c r="H121" t="s">
        <v>62</v>
      </c>
      <c r="I121" t="s">
        <v>42</v>
      </c>
      <c r="J121" t="s">
        <v>37</v>
      </c>
      <c r="K121">
        <v>164070985</v>
      </c>
      <c r="L121">
        <v>173176.18</v>
      </c>
      <c r="M121">
        <v>0.218</v>
      </c>
      <c r="N121">
        <v>71.599999999999994</v>
      </c>
      <c r="O121" t="b">
        <v>1</v>
      </c>
      <c r="P121">
        <v>500000</v>
      </c>
      <c r="Q121">
        <v>100000</v>
      </c>
      <c r="R121">
        <v>1.27</v>
      </c>
      <c r="S121" t="b">
        <v>0</v>
      </c>
      <c r="U121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Derivatives 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Hector Xin</cp:lastModifiedBy>
  <dcterms:created xsi:type="dcterms:W3CDTF">2026-08-16T15:21:36Z</dcterms:created>
  <dcterms:modified xsi:type="dcterms:W3CDTF">2026-08-18T14:49:08Z</dcterms:modified>
</cp:coreProperties>
</file>